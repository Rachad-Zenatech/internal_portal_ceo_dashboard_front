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Compton\Documents\2026\Templates\"/>
    </mc:Choice>
  </mc:AlternateContent>
  <xr:revisionPtr revIDLastSave="0" documentId="13_ncr:1_{87E096AC-6B6C-46D9-98B2-5451B16BB03F}" xr6:coauthVersionLast="47" xr6:coauthVersionMax="47" xr10:uidLastSave="{00000000-0000-0000-0000-000000000000}"/>
  <bookViews>
    <workbookView xWindow="28680" yWindow="-4425" windowWidth="29040" windowHeight="15720" xr2:uid="{94690CD4-E579-4FE1-8F53-CFF87C03945A}"/>
  </bookViews>
  <sheets>
    <sheet name="Instructions" sheetId="18" r:id="rId1"/>
    <sheet name="Recon" sheetId="13" r:id="rId2"/>
    <sheet name="gl" sheetId="4" r:id="rId3"/>
  </sheets>
  <definedNames>
    <definedName name="_xlnm._FilterDatabase" localSheetId="2" hidden="1">gl!$A$1:$N$1</definedName>
    <definedName name="_xlnm.Print_Area" localSheetId="0">Instructions!$A$1:$B$61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5" i="13" l="1"/>
  <c r="N45" i="13"/>
  <c r="M45" i="13"/>
  <c r="L45" i="13"/>
  <c r="K45" i="13"/>
  <c r="J45" i="13"/>
  <c r="I45" i="13"/>
  <c r="H45" i="13"/>
  <c r="G45" i="13"/>
  <c r="P19" i="13"/>
  <c r="P18" i="13"/>
  <c r="P17" i="13"/>
  <c r="P16" i="13"/>
  <c r="P15" i="13"/>
  <c r="P14" i="13"/>
  <c r="P13" i="13"/>
  <c r="P12" i="13"/>
  <c r="P11" i="13"/>
  <c r="O43" i="13"/>
  <c r="N43" i="13"/>
  <c r="M43" i="13"/>
  <c r="L43" i="13"/>
  <c r="K43" i="13"/>
  <c r="J43" i="13"/>
  <c r="I43" i="13"/>
  <c r="H43" i="13"/>
  <c r="G43" i="13"/>
  <c r="O39" i="13"/>
  <c r="N39" i="13"/>
  <c r="M39" i="13"/>
  <c r="L39" i="13"/>
  <c r="K39" i="13"/>
  <c r="J39" i="13"/>
  <c r="I39" i="13"/>
  <c r="H39" i="13"/>
  <c r="G39" i="13"/>
  <c r="O29" i="13"/>
  <c r="N29" i="13"/>
  <c r="M29" i="13"/>
  <c r="L29" i="13"/>
  <c r="K29" i="13"/>
  <c r="J29" i="13"/>
  <c r="I29" i="13"/>
  <c r="H29" i="13"/>
  <c r="G29" i="13"/>
  <c r="O20" i="13"/>
  <c r="N20" i="13"/>
  <c r="M20" i="13"/>
  <c r="L20" i="13"/>
  <c r="K20" i="13"/>
  <c r="J20" i="13"/>
  <c r="I20" i="13"/>
  <c r="H20" i="13"/>
  <c r="G20" i="13"/>
  <c r="F43" i="13"/>
  <c r="E43" i="13"/>
  <c r="D43" i="13"/>
  <c r="P39" i="13"/>
  <c r="F39" i="13"/>
  <c r="E39" i="13"/>
  <c r="D39" i="13"/>
  <c r="P38" i="13"/>
  <c r="P37" i="13"/>
  <c r="P36" i="13"/>
  <c r="P35" i="13"/>
  <c r="P34" i="13"/>
  <c r="P33" i="13"/>
  <c r="P32" i="13"/>
  <c r="F29" i="13"/>
  <c r="E29" i="13"/>
  <c r="D29" i="13"/>
  <c r="P27" i="13"/>
  <c r="P26" i="13"/>
  <c r="P25" i="13"/>
  <c r="P29" i="13" s="1"/>
  <c r="P43" i="13" s="1"/>
  <c r="F20" i="13"/>
  <c r="E20" i="13"/>
  <c r="D20" i="13"/>
  <c r="D22" i="13" s="1"/>
  <c r="P10" i="13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P20" i="13" l="1"/>
  <c r="P22" i="13" s="1"/>
  <c r="P42" i="13" s="1"/>
  <c r="P45" i="13" s="1"/>
  <c r="E22" i="13"/>
  <c r="D42" i="13"/>
  <c r="D45" i="13" s="1"/>
  <c r="E42" i="13" l="1"/>
  <c r="E45" i="13" s="1"/>
  <c r="F22" i="13"/>
  <c r="F42" i="13" l="1"/>
  <c r="F45" i="13" s="1"/>
  <c r="G10" i="13"/>
  <c r="G22" i="13" s="1"/>
  <c r="H10" i="13" l="1"/>
  <c r="H22" i="13" s="1"/>
  <c r="G42" i="13"/>
  <c r="I10" i="13" l="1"/>
  <c r="I22" i="13" s="1"/>
  <c r="I42" i="13" s="1"/>
  <c r="H42" i="13"/>
  <c r="J10" i="13"/>
  <c r="J22" i="13" s="1"/>
  <c r="J42" i="13" l="1"/>
  <c r="K10" i="13"/>
  <c r="K22" i="13" s="1"/>
  <c r="K42" i="13" l="1"/>
  <c r="L10" i="13"/>
  <c r="L22" i="13" s="1"/>
  <c r="L42" i="13" l="1"/>
  <c r="M10" i="13"/>
  <c r="M22" i="13" s="1"/>
  <c r="M42" i="13" l="1"/>
  <c r="N10" i="13"/>
  <c r="N22" i="13" s="1"/>
  <c r="N42" i="13" l="1"/>
  <c r="O10" i="13"/>
  <c r="O22" i="13" s="1"/>
  <c r="O4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Santana</author>
  </authors>
  <commentList>
    <comment ref="C37" authorId="0" shapeId="0" xr:uid="{DA92DF2C-BDE7-440D-8A1D-BF5C3234B65A}">
      <text>
        <r>
          <rPr>
            <b/>
            <sz val="9"/>
            <color indexed="81"/>
            <rFont val="Tahoma"/>
            <family val="2"/>
          </rPr>
          <t>Gerardo Santana:</t>
        </r>
        <r>
          <rPr>
            <sz val="9"/>
            <color indexed="81"/>
            <rFont val="Tahoma"/>
            <family val="2"/>
          </rPr>
          <t xml:space="preserve">
DISCREPANCY: Account 4729 Feb deposit.
JE #4: $1,170.39 (4600 · Rent Revenue)
Bank Stmt: $1,070.39 (Deposit #8653065544)
Difference: $100.00 overstated in GL.
Action: Adjust JE or post correcting entry to reduce 4600 · Rent Revenue by $100.</t>
        </r>
      </text>
    </comment>
  </commentList>
</comments>
</file>

<file path=xl/sharedStrings.xml><?xml version="1.0" encoding="utf-8"?>
<sst xmlns="http://schemas.openxmlformats.org/spreadsheetml/2006/main" count="287" uniqueCount="189">
  <si>
    <t>BANK RECONCILIATION</t>
  </si>
  <si>
    <t>Entity:</t>
  </si>
  <si>
    <t>Bank Account:</t>
  </si>
  <si>
    <t>Account #:</t>
  </si>
  <si>
    <t>Prepared By:</t>
  </si>
  <si>
    <t>Reviewed By:</t>
  </si>
  <si>
    <t>Fiscal Year:</t>
  </si>
  <si>
    <t>LEGEND:</t>
  </si>
  <si>
    <t>Yellow cell = Input (from bank stmt or JE)</t>
  </si>
  <si>
    <t>Purple cell = Formula (do not edit)</t>
  </si>
  <si>
    <t>Green cell = Ending Balance (must match)</t>
  </si>
  <si>
    <t>Section</t>
  </si>
  <si>
    <t>GL Account / Description</t>
  </si>
  <si>
    <t>Notes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</si>
  <si>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</si>
  <si>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</si>
  <si>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</si>
  <si>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</si>
  <si>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</si>
  <si>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</si>
  <si>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</si>
  <si>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</si>
  <si>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</si>
  <si>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</si>
  <si>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</si>
  <si>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</si>
  <si>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</si>
  <si>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① BOOK BALANCE (per General Ledger)</t>
  </si>
  <si>
    <t>Beginning Bal</t>
  </si>
  <si>
    <t>Beginning Book Balance</t>
  </si>
  <si>
    <t>Per prior month ending</t>
  </si>
  <si>
    <t>Activity</t>
  </si>
  <si>
    <t>1060 · US Bank - 4729 Chicago Real Est</t>
  </si>
  <si>
    <t>Intercompany transfers to/from 4729</t>
  </si>
  <si>
    <t>1600 · Chicago Residential Condos</t>
  </si>
  <si>
    <t>Real estate asset purchases</t>
  </si>
  <si>
    <t>2012 · US Bank - Credit Card 8843</t>
  </si>
  <si>
    <t>CC payments from operating account</t>
  </si>
  <si>
    <t>2405 · I/C - Epazz</t>
  </si>
  <si>
    <t>Zenatech, Provitrac, related entities</t>
  </si>
  <si>
    <t>2415 · I/C - Drone as a Service</t>
  </si>
  <si>
    <t>EFT from DaaS (account 5007)</t>
  </si>
  <si>
    <t>6620 · Legal</t>
  </si>
  <si>
    <t>International wire - legal fees</t>
  </si>
  <si>
    <t>6630 · Stock Registry Fees</t>
  </si>
  <si>
    <t>Colonial Stock Transfer payments</t>
  </si>
  <si>
    <t>6710 · Bank Service Charges</t>
  </si>
  <si>
    <t>Monthly analysis service charges</t>
  </si>
  <si>
    <t>[Add GL Line]</t>
  </si>
  <si>
    <t>Net Book Activity</t>
  </si>
  <si>
    <t>Ending Bal</t>
  </si>
  <si>
    <t>Ending Book Balance</t>
  </si>
  <si>
    <t>(Beginning + Net Activity)</t>
  </si>
  <si>
    <t>② BANK BALANCE (per Bank Statement)</t>
  </si>
  <si>
    <t>Bank Stmt</t>
  </si>
  <si>
    <t>Beginning Bank Balance</t>
  </si>
  <si>
    <t>From statement</t>
  </si>
  <si>
    <t>Total Deposits / Credits</t>
  </si>
  <si>
    <t>Total Withdrawals / Debits</t>
  </si>
  <si>
    <t>Ending Bank Balance</t>
  </si>
  <si>
    <t>(Beg + Deposits + Withdrawals)</t>
  </si>
  <si>
    <t>③ RECONCILING ITEMS</t>
  </si>
  <si>
    <t>Reconciling</t>
  </si>
  <si>
    <t>Deposits in Transit</t>
  </si>
  <si>
    <t>Recorded in books, not yet on bank stmt</t>
  </si>
  <si>
    <t>Outstanding Checks / Payments</t>
  </si>
  <si>
    <t>Recorded in books, not yet cleared bank</t>
  </si>
  <si>
    <t>Bank Charges Not Yet Recorded</t>
  </si>
  <si>
    <t>On bank stmt, not yet in GL</t>
  </si>
  <si>
    <t>Interest Earned Not Yet Recorded</t>
  </si>
  <si>
    <t>NSF / Returned Items</t>
  </si>
  <si>
    <t>Returned deposits not yet adjusted</t>
  </si>
  <si>
    <t>Other – Describe in Notes</t>
  </si>
  <si>
    <t>4729 Feb: JE Ser #4 records rent deposit as $1,170.39 but bank stmt shows $1,070.39 — $100 over in GL. Adjust 4729 GL (4600 · Rent Revenue) down by $100.</t>
  </si>
  <si>
    <t>[Add Reconciling Item]</t>
  </si>
  <si>
    <t>Total Reconciling Items</t>
  </si>
  <si>
    <t>④ RECONCILIATION PROOF</t>
  </si>
  <si>
    <t>Proof</t>
  </si>
  <si>
    <t>Adjusted Book Balance</t>
  </si>
  <si>
    <t>(Ending Book + Reconciling)</t>
  </si>
  <si>
    <t>(From ② above)</t>
  </si>
  <si>
    <t>RESULT</t>
  </si>
  <si>
    <t>VARIANCE (should be zero)</t>
  </si>
  <si>
    <t>Ser</t>
  </si>
  <si>
    <t>Account</t>
  </si>
  <si>
    <t>Month</t>
  </si>
  <si>
    <t>Date</t>
  </si>
  <si>
    <t>Transaction</t>
  </si>
  <si>
    <t>Name</t>
  </si>
  <si>
    <t>Memo</t>
  </si>
  <si>
    <t>Amount</t>
  </si>
  <si>
    <t>Offset</t>
  </si>
  <si>
    <t>a</t>
  </si>
  <si>
    <t>x</t>
  </si>
  <si>
    <t>xx</t>
  </si>
  <si>
    <t>Electronic Funds Transfer From Account 199384324729</t>
  </si>
  <si>
    <t>1055 · US Bank - 8490 Ameritek LLC</t>
  </si>
  <si>
    <t>Electronic Funds Transfer From Account 199384488912</t>
  </si>
  <si>
    <t>International Wire Debit REF=0026 126011400000008 260114B012QG 1400000008</t>
  </si>
  <si>
    <t>Analysis Service Charge 1500000000</t>
  </si>
  <si>
    <t>Electronic Funds Transfer To Account 199384324729</t>
  </si>
  <si>
    <t xml:space="preserve">Wire Credit REF012992 ORG=1/ZENATECH, INC. BK AMER NYC 260116B01HJ5 2/602 W 5TH AVE STE B
</t>
  </si>
  <si>
    <t>Wire Debit REF003546 BNF=CHICAGO TITLE AND BMO BANK NA CHICAG 260123B01KCD TRUST COMPANY 650 DUNDEE</t>
  </si>
  <si>
    <t>1600 · Chicago Residential Condows</t>
  </si>
  <si>
    <t>Electronic Funds Transfer To Account 199384488490</t>
  </si>
  <si>
    <t>Electronic Funds Transfer From Account 199384488490</t>
  </si>
  <si>
    <t xml:space="preserve">Electronic Withdrawal REF=260330317221660Y00 To CARDMEMBER SERV 5911111111ELECT PYMT***********8843
</t>
  </si>
  <si>
    <t xml:space="preserve"> Electronic Settlement REF=260370171470770Y00 From ZENATECH INC SETTLMT PFSINGLE PT</t>
  </si>
  <si>
    <t>Analysis Service Charge</t>
  </si>
  <si>
    <t xml:space="preserve">Electronic Withdrawal REF=260500077197300N00 To Colonial Stock T RF00041521BILLANDPAY10190455
 </t>
  </si>
  <si>
    <t>Electronic Withdrawal REF=260580191549000Y00 To CARDMEMBER SERV 5911111111WEB PYMT ***********8843</t>
  </si>
  <si>
    <t>Electronic Withdrawal To Colonial Stock T REF=260580076931920N00 RF00041521BILLANDPAY1021235</t>
  </si>
  <si>
    <t>4600 · Rent Revenue</t>
  </si>
  <si>
    <t xml:space="preserve"> ACCOUNT ANALYSIS SERVICE CHARGE</t>
  </si>
  <si>
    <t>1080 · First Merchant Bank</t>
  </si>
  <si>
    <t>LATE FEE - PAYMENT DUE ON 02/01</t>
  </si>
  <si>
    <t>PAYMENT THANK YOU</t>
  </si>
  <si>
    <t>INTEREST CHARGE ON PURCHASES</t>
  </si>
  <si>
    <t>8100 · Interest Exp - Line of Credit</t>
  </si>
  <si>
    <t>ET PAYMENT THANK YOU</t>
  </si>
  <si>
    <t>Electronic Settlement REF=260610138532600Y00 From ZENATECH INC SETTLMT PFSINGLE PT</t>
  </si>
  <si>
    <t>Analysis Service Charge 1300000000</t>
  </si>
  <si>
    <t xml:space="preserve"> Electronic Withdrawal REF=260820048379420N00 To Colonial Stock T RF00041521BILLANDPAY10301671</t>
  </si>
  <si>
    <t>Electronic Funds Transfer From Account 199384325007</t>
  </si>
  <si>
    <t>Electronic Settlement REF=260900092435420Y00 From ZENATECH INC SETTLMT PFSINGLE PT</t>
  </si>
  <si>
    <t>Wire Credit REF021479 ORG=PROVITRAC, INC. BK AMER NYC 260331B0MHDB 2/602 W 5TH AVE STE B</t>
  </si>
  <si>
    <t>BANK RECONCILIATION TEMPLATE — INSTRUCTIONS</t>
  </si>
  <si>
    <t>OVERVIEW</t>
  </si>
  <si>
    <t>This workbook contains one reconciliation tab per bank account. Each tab follows the same four-section layout that reconciles the General Ledger (book) balance to the bank statement balance each month. The template covers Jan–Dec with a Full Year summary column.</t>
  </si>
  <si>
    <t>A reconciliation is complete when the VARIANCE row (Section ④) equals zero for every month with bank statement data entered.</t>
  </si>
  <si>
    <t>COLOR LEGEND</t>
  </si>
  <si>
    <t>Yellow cell = Input. Enter data from bank statements or journal entries here. These are the only cells you should edit.</t>
  </si>
  <si>
    <t>Purple cell = Formula. Do NOT overwrite. These calculate automatically from your inputs.</t>
  </si>
  <si>
    <t>Green cell = Ending balance or proof row. Key outputs — Sections ① and ② should match here.</t>
  </si>
  <si>
    <t>Gray cell = Subtotal row. Auto-calculated, do not edit.</t>
  </si>
  <si>
    <t>TEMPLATE LAYOUT (4 SECTIONS PER TAB)</t>
  </si>
  <si>
    <t>①</t>
  </si>
  <si>
    <t>BOOK BALANCE (per General Ledger)</t>
  </si>
  <si>
    <t>Beginning Balance — Enter the GL opening balance for the month. For January, type the starting balance manually (blue input). For Feb onward, this auto-fills from the prior month’s ending balance.</t>
  </si>
  <si>
    <t>Activity Rows — One row per GL offset account (e.g., 2405 · I/C – Epazz, 6710 · Bank Service Charges). Enter the net amount per GL code per month from your journal entries. Use positive numbers for receipts/deposits and negative numbers (with a minus sign) for payments/withdrawals.</t>
  </si>
  <si>
    <t>Net Book Activity — Formula. Sums all activity rows automatically.</t>
  </si>
  <si>
    <t>Ending Book Balance — Formula. Beginning Balance + Net Activity. This is what your GL says the cash balance should be.</t>
  </si>
  <si>
    <t>②</t>
  </si>
  <si>
    <t>BANK BALANCE (per Bank Statement)</t>
  </si>
  <si>
    <t>Beginning Bank Balance — Enter from the bank statement. Should match the prior month’s ending bank balance.</t>
  </si>
  <si>
    <t>Total Deposits / Credits — Enter total deposits from the bank statement summary page.</t>
  </si>
  <si>
    <t>Total Withdrawals / Debits — Enter total withdrawals from the bank statement summary page. Use a negative number.</t>
  </si>
  <si>
    <t>Ending Bank Balance — Formula. Beg + Deposits + Withdrawals. Should match the ending balance printed on the bank statement.</t>
  </si>
  <si>
    <t>③</t>
  </si>
  <si>
    <t>RECONCILING ITEMS</t>
  </si>
  <si>
    <t>Use this section for timing differences between the books and the bank. Common items:</t>
  </si>
  <si>
    <t xml:space="preserve">  •  Deposits in Transit — Recorded in GL but not yet showing on the bank statement (enter as positive)</t>
  </si>
  <si>
    <t xml:space="preserve">  •  Outstanding Checks — Written and recorded in GL but not yet cleared the bank (enter as negative)</t>
  </si>
  <si>
    <t xml:space="preserve">  •  Bank Charges Not Yet Recorded — On the bank statement but not yet posted to the GL (enter as negative)</t>
  </si>
  <si>
    <t xml:space="preserve">  •  Interest Earned Not Yet Recorded — Bank credited interest not yet in GL (enter as positive)</t>
  </si>
  <si>
    <t xml:space="preserve">  •  NSF / Returned Items — Bounced deposits reversed by bank but not yet adjusted in GL (enter as negative)</t>
  </si>
  <si>
    <t>If all JEs match the bank statement exactly (no timing differences), leave these rows at zero.</t>
  </si>
  <si>
    <t>④</t>
  </si>
  <si>
    <t>RECONCILIATION PROOF</t>
  </si>
  <si>
    <t>Adjusted Book Balance — Formula. Ending Book Balance (①) + Total Reconciling Items (③). This is what the GL says after adjusting for timing differences.</t>
  </si>
  <si>
    <t>Ending Bank Balance — Formula. Pulls from Section ②.</t>
  </si>
  <si>
    <t>VARIANCE — Formula. Adjusted Book − Ending Bank. Must equal zero. If not, there is an unresolved difference that needs investigation.</t>
  </si>
  <si>
    <t>MONTHLY RECONCILIATION PROCESS</t>
  </si>
  <si>
    <t>Step 1</t>
  </si>
  <si>
    <t>Gather the bank statement for the month and the GL trial balance or journal entry detail for the same bank account.</t>
  </si>
  <si>
    <t>Step 2</t>
  </si>
  <si>
    <t>In Section ②, enter the Beginning Bank Balance, Total Deposits, and Total Withdrawals from the bank statement. Verify the calculated Ending Bank Balance matches the statement.</t>
  </si>
  <si>
    <t>Step 3</t>
  </si>
  <si>
    <t>In Section ①, enter the net amount per GL offset account from the journal entries. Match each JE transaction to a bank statement transaction. The Ending Book Balance should equal the GL ending balance for this account.</t>
  </si>
  <si>
    <t>Step 4</t>
  </si>
  <si>
    <t>Compare Ending Book Balance (①) to Ending Bank Balance (②). If they don’t match, identify the differences and enter them in Section ③ as reconciling items.</t>
  </si>
  <si>
    <t>Step 5</t>
  </si>
  <si>
    <t>Check the VARIANCE row in Section ④. It must be $0.00. If not, review your entries — a common error is a missing JE, a transposed number, or a bank fee not yet recorded.</t>
  </si>
  <si>
    <t>Step 6</t>
  </si>
  <si>
    <t>Note any discrepancies in the "Other – Describe in Notes" row (Section ③) with details in column C. Flag items that need GL adjusting entries.</t>
  </si>
  <si>
    <t>TIPS &amp; COMMON ISSUES</t>
  </si>
  <si>
    <t>•  Adding GL lines: If you need more GL accounts in Section ①, overwrite a "[Add GL Line]" row with the GL code, name, and amounts. The SUM formulas will pick it up automatically.</t>
  </si>
  <si>
    <t>•  Adding reconciling items: Same approach — overwrite the "[Add Reconciling Item]" placeholder row in Section ③.</t>
  </si>
  <si>
    <t>•  Credit card accounts: Charges increase the liability (enter as negative in the CC’s book balance). Payments decrease it (enter as positive).</t>
  </si>
  <si>
    <t>•  Intercompany transfers: Make sure both sides of the transfer are recorded. If 8490 sends $5,000 to 4729, the 8490 tab shows −5,000 on the 1060 GL line, and the 4729 tab shows +5,000 from 1055.</t>
  </si>
  <si>
    <t>•  Rounding: The variance formula uses ROUND(,2) to avoid false mismatches from floating-point arithmetic. True differences will still show.</t>
  </si>
  <si>
    <t>•  New bank accounts: Duplicate an existing reconciliation tab (right-click tab → Move or Copy → check "Create a copy"). Update the header info (Entity, Bank Account, GL#) and clear the data columns.</t>
  </si>
  <si>
    <t>•  Full Year column (P): Automatically sums Jan–Dec for each line. Useful for annual audit or year-end close.</t>
  </si>
  <si>
    <t>WORKBOOK STRUCTURE</t>
  </si>
  <si>
    <t>Dashboard — Summary view of all bank accounts (balances and reconciliation status). Build this after individual tabs are complete.</t>
  </si>
  <si>
    <t>8490 · US Bank — Filled example for the primary checking account. Use this as a reference for how a completed reconciliation should look.</t>
  </si>
  <si>
    <t>Sheet1 (3) — Source journal entry data used to populate the reconciliation tabs.</t>
  </si>
  <si>
    <t>Instructions — This tab. Do not delete.</t>
  </si>
  <si>
    <t>OPEN ITEMS — ALL MONTHS (Jan–Dec 2026)  |  Items requiring follow-up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</si>
</sst>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(#,##0.00\);&quot;-&quot;"/>
  </numFmts>
  <fonts count="2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666666"/>
      <name val="Calibri"/>
      <family val="2"/>
      <charset val="1"/>
    </font>
    <font>
      <b/>
      <sz val="14"/>
      <color rgb="FF1F4E79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1F4E79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charset val="1"/>
    </font>
    <font>
      <b/>
      <sz val="12"/>
      <color rgb="FF1F4E79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1F3864"/>
        <bgColor rgb="FF1F4E79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1"/>
    <xf numFmtId="43" fontId="0" fillId="0" borderId="0" xfId="2" applyFont="1"/>
    <xf numFmtId="1" fontId="1" fillId="0" borderId="0" xfId="1" applyNumberFormat="1"/>
    <xf numFmtId="43" fontId="0" fillId="2" borderId="0" xfId="2" applyFont="1" applyFill="1"/>
    <xf numFmtId="0" fontId="1" fillId="3" borderId="0" xfId="1" applyFill="1"/>
    <xf numFmtId="43" fontId="0" fillId="3" borderId="0" xfId="2" applyFont="1" applyFill="1"/>
    <xf numFmtId="14" fontId="1" fillId="3" borderId="0" xfId="1" applyNumberFormat="1" applyFill="1"/>
    <xf numFmtId="1" fontId="1" fillId="3" borderId="0" xfId="1" applyNumberFormat="1" applyFill="1"/>
    <xf numFmtId="0" fontId="1" fillId="4" borderId="0" xfId="1" applyFill="1"/>
    <xf numFmtId="43" fontId="0" fillId="0" borderId="0" xfId="2" applyFont="1" applyFill="1"/>
    <xf numFmtId="14" fontId="1" fillId="0" borderId="0" xfId="1" applyNumberFormat="1"/>
    <xf numFmtId="0" fontId="1" fillId="2" borderId="0" xfId="1" applyFill="1"/>
    <xf numFmtId="14" fontId="1" fillId="2" borderId="0" xfId="1" applyNumberFormat="1" applyFill="1"/>
    <xf numFmtId="1" fontId="1" fillId="2" borderId="0" xfId="1" applyNumberFormat="1" applyFill="1"/>
    <xf numFmtId="43" fontId="0" fillId="5" borderId="0" xfId="2" applyFont="1" applyFill="1"/>
    <xf numFmtId="0" fontId="1" fillId="5" borderId="0" xfId="1" applyFill="1"/>
    <xf numFmtId="14" fontId="1" fillId="5" borderId="0" xfId="1" applyNumberFormat="1" applyFill="1"/>
    <xf numFmtId="1" fontId="1" fillId="5" borderId="0" xfId="1" applyNumberForma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7" borderId="2" xfId="0" applyFill="1" applyBorder="1"/>
    <xf numFmtId="0" fontId="0" fillId="0" borderId="3" xfId="0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6" borderId="2" xfId="0" applyFont="1" applyFill="1" applyBorder="1"/>
    <xf numFmtId="0" fontId="10" fillId="6" borderId="2" xfId="0" applyFont="1" applyFill="1" applyBorder="1" applyAlignment="1">
      <alignment horizontal="center"/>
    </xf>
    <xf numFmtId="0" fontId="11" fillId="7" borderId="2" xfId="0" applyFont="1" applyFill="1" applyBorder="1"/>
    <xf numFmtId="0" fontId="12" fillId="0" borderId="2" xfId="0" applyFont="1" applyBorder="1"/>
    <xf numFmtId="0" fontId="8" fillId="0" borderId="2" xfId="0" applyFont="1" applyBorder="1"/>
    <xf numFmtId="0" fontId="9" fillId="0" borderId="2" xfId="0" applyFont="1" applyBorder="1"/>
    <xf numFmtId="0" fontId="9" fillId="8" borderId="4" xfId="0" applyFont="1" applyFill="1" applyBorder="1"/>
    <xf numFmtId="0" fontId="0" fillId="0" borderId="5" xfId="0" applyBorder="1"/>
    <xf numFmtId="0" fontId="13" fillId="6" borderId="6" xfId="0" applyFont="1" applyFill="1" applyBorder="1"/>
    <xf numFmtId="0" fontId="15" fillId="0" borderId="3" xfId="0" applyFont="1" applyBorder="1"/>
    <xf numFmtId="0" fontId="6" fillId="0" borderId="0" xfId="0" applyFont="1" applyAlignment="1">
      <alignment horizontal="center"/>
    </xf>
    <xf numFmtId="0" fontId="19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wrapText="1"/>
    </xf>
    <xf numFmtId="0" fontId="3" fillId="6" borderId="1" xfId="0" applyFont="1" applyFill="1" applyBorder="1"/>
    <xf numFmtId="0" fontId="21" fillId="9" borderId="0" xfId="0" applyFont="1" applyFill="1"/>
    <xf numFmtId="0" fontId="22" fillId="9" borderId="4" xfId="0" applyFont="1" applyFill="1" applyBorder="1"/>
    <xf numFmtId="164" fontId="22" fillId="9" borderId="4" xfId="0" applyNumberFormat="1" applyFont="1" applyFill="1" applyBorder="1"/>
    <xf numFmtId="164" fontId="23" fillId="9" borderId="4" xfId="0" applyNumberFormat="1" applyFont="1" applyFill="1" applyBorder="1"/>
    <xf numFmtId="164" fontId="23" fillId="9" borderId="6" xfId="0" applyNumberFormat="1" applyFont="1" applyFill="1" applyBorder="1"/>
    <xf numFmtId="0" fontId="18" fillId="9" borderId="0" xfId="0" applyFont="1" applyFill="1" applyAlignment="1">
      <alignment horizontal="center"/>
    </xf>
    <xf numFmtId="0" fontId="14" fillId="9" borderId="0" xfId="0" applyFont="1" applyFill="1"/>
    <xf numFmtId="0" fontId="18" fillId="8" borderId="0" xfId="0" applyFont="1" applyFill="1" applyAlignment="1">
      <alignment horizontal="center"/>
    </xf>
    <xf numFmtId="0" fontId="14" fillId="8" borderId="0" xfId="0" applyFont="1" applyFill="1"/>
    <xf numFmtId="0" fontId="14" fillId="10" borderId="0" xfId="0" applyFont="1" applyFill="1"/>
    <xf numFmtId="1" fontId="14" fillId="10" borderId="0" xfId="0" applyNumberFormat="1" applyFont="1" applyFill="1"/>
    <xf numFmtId="164" fontId="21" fillId="10" borderId="2" xfId="0" applyNumberFormat="1" applyFont="1" applyFill="1" applyBorder="1"/>
    <xf numFmtId="164" fontId="21" fillId="10" borderId="3" xfId="0" applyNumberFormat="1" applyFont="1" applyFill="1" applyBorder="1"/>
    <xf numFmtId="164" fontId="14" fillId="10" borderId="2" xfId="0" applyNumberFormat="1" applyFont="1" applyFill="1" applyBorder="1"/>
    <xf numFmtId="164" fontId="14" fillId="10" borderId="3" xfId="0" applyNumberFormat="1" applyFont="1" applyFill="1" applyBorder="1"/>
    <xf numFmtId="164" fontId="8" fillId="11" borderId="2" xfId="0" applyNumberFormat="1" applyFont="1" applyFill="1" applyBorder="1"/>
    <xf numFmtId="164" fontId="14" fillId="11" borderId="2" xfId="0" applyNumberFormat="1" applyFont="1" applyFill="1" applyBorder="1"/>
    <xf numFmtId="164" fontId="9" fillId="11" borderId="4" xfId="0" applyNumberFormat="1" applyFont="1" applyFill="1" applyBorder="1"/>
    <xf numFmtId="164" fontId="4" fillId="11" borderId="4" xfId="0" applyNumberFormat="1" applyFont="1" applyFill="1" applyBorder="1"/>
    <xf numFmtId="164" fontId="9" fillId="11" borderId="2" xfId="0" applyNumberFormat="1" applyFont="1" applyFill="1" applyBorder="1"/>
    <xf numFmtId="164" fontId="4" fillId="11" borderId="2" xfId="0" applyNumberFormat="1" applyFont="1" applyFill="1" applyBorder="1"/>
    <xf numFmtId="164" fontId="8" fillId="11" borderId="3" xfId="0" applyNumberFormat="1" applyFont="1" applyFill="1" applyBorder="1"/>
    <xf numFmtId="0" fontId="21" fillId="10" borderId="0" xfId="0" applyFont="1" applyFill="1"/>
    <xf numFmtId="0" fontId="21" fillId="11" borderId="0" xfId="0" applyFont="1" applyFill="1"/>
    <xf numFmtId="0" fontId="18" fillId="10" borderId="0" xfId="0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0" fontId="14" fillId="11" borderId="0" xfId="0" applyFont="1" applyFill="1"/>
    <xf numFmtId="0" fontId="9" fillId="6" borderId="2" xfId="0" applyFont="1" applyFill="1" applyBorder="1"/>
    <xf numFmtId="0" fontId="15" fillId="0" borderId="2" xfId="0" applyFont="1" applyBorder="1"/>
    <xf numFmtId="0" fontId="0" fillId="8" borderId="4" xfId="0" applyFill="1" applyBorder="1"/>
    <xf numFmtId="0" fontId="15" fillId="9" borderId="4" xfId="0" applyFont="1" applyFill="1" applyBorder="1"/>
    <xf numFmtId="0" fontId="0" fillId="6" borderId="6" xfId="0" applyFill="1" applyBorder="1"/>
    <xf numFmtId="0" fontId="0" fillId="11" borderId="0" xfId="0" applyFill="1"/>
    <xf numFmtId="0" fontId="0" fillId="9" borderId="0" xfId="0" applyFill="1"/>
    <xf numFmtId="0" fontId="8" fillId="0" borderId="3" xfId="0" applyFont="1" applyBorder="1"/>
    <xf numFmtId="0" fontId="24" fillId="12" borderId="0" xfId="0" applyFont="1" applyFill="1" applyAlignment="1">
      <alignment horizontal="left" vertical="center"/>
    </xf>
  </cellXfs>
  <cellStyles count="3">
    <cellStyle name="Comma 2" xfId="2" xr:uid="{E0411798-E3AF-432E-B1A9-94026D719931}"/>
    <cellStyle name="Normal" xfId="0" builtinId="0"/>
    <cellStyle name="Normal 2" xfId="1" xr:uid="{7A3344D3-1F10-4E12-9D3D-9C0FCC0FDC9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B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EFCE"/>
      <color rgb="FFE8D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DB9EEF-A4C2-494F-9511-46E18F854AB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8150766-ad3a-4706-8fc4-4f57c4bcf8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ADF4-6933-4F26-933E-9313A53E921E}">
  <sheetPr>
    <tabColor rgb="FF1F4E79"/>
  </sheetPr>
  <dimension ref="A1:B61"/>
  <sheetViews>
    <sheetView tabSelected="1" workbookViewId="0"/>
  </sheetViews>
  <sheetFormatPr defaultRowHeight="14.5" x14ac:dyDescent="0.35"/>
  <cols>
    <col min="1" max="1" width="5.7265625" customWidth="1"/>
    <col min="2" max="2" width="104.7265625" customWidth="1"/>
  </cols>
  <sheetData>
    <row r="1" spans="1:2" ht="21" x14ac:dyDescent="0.5">
      <c r="B1" s="19" t="s">
        <v>126</v>
      </c>
    </row>
    <row r="3" spans="1:2" ht="17" x14ac:dyDescent="0.4">
      <c r="B3" s="46" t="s">
        <v>127</v>
      </c>
    </row>
    <row r="4" spans="1:2" ht="43.5" x14ac:dyDescent="0.35">
      <c r="B4" s="40" t="s">
        <v>128</v>
      </c>
    </row>
    <row r="5" spans="1:2" ht="29" x14ac:dyDescent="0.35">
      <c r="B5" s="41" t="s">
        <v>129</v>
      </c>
    </row>
    <row r="7" spans="1:2" ht="17" x14ac:dyDescent="0.4">
      <c r="B7" s="46" t="s">
        <v>130</v>
      </c>
    </row>
    <row r="8" spans="1:2" ht="18.5" x14ac:dyDescent="0.45">
      <c r="A8" s="71"/>
      <c r="B8" s="56" t="s">
        <v>131</v>
      </c>
    </row>
    <row r="9" spans="1:2" ht="18.5" x14ac:dyDescent="0.45">
      <c r="A9" s="72"/>
      <c r="B9" s="73" t="s">
        <v>132</v>
      </c>
    </row>
    <row r="10" spans="1:2" ht="18.5" x14ac:dyDescent="0.45">
      <c r="A10" s="52"/>
      <c r="B10" s="53" t="s">
        <v>133</v>
      </c>
    </row>
    <row r="11" spans="1:2" ht="18.5" x14ac:dyDescent="0.45">
      <c r="A11" s="54"/>
      <c r="B11" s="55" t="s">
        <v>134</v>
      </c>
    </row>
    <row r="13" spans="1:2" ht="17" x14ac:dyDescent="0.4">
      <c r="B13" s="46" t="s">
        <v>135</v>
      </c>
    </row>
    <row r="14" spans="1:2" ht="18.5" x14ac:dyDescent="0.45">
      <c r="A14" s="37" t="s">
        <v>136</v>
      </c>
      <c r="B14" s="38" t="s">
        <v>137</v>
      </c>
    </row>
    <row r="15" spans="1:2" ht="29" x14ac:dyDescent="0.35">
      <c r="B15" s="40" t="s">
        <v>138</v>
      </c>
    </row>
    <row r="16" spans="1:2" ht="43.5" x14ac:dyDescent="0.35">
      <c r="B16" s="40" t="s">
        <v>139</v>
      </c>
    </row>
    <row r="17" spans="1:2" x14ac:dyDescent="0.35">
      <c r="B17" s="21" t="s">
        <v>140</v>
      </c>
    </row>
    <row r="18" spans="1:2" x14ac:dyDescent="0.35">
      <c r="B18" s="42" t="s">
        <v>141</v>
      </c>
    </row>
    <row r="20" spans="1:2" ht="18.5" x14ac:dyDescent="0.45">
      <c r="A20" s="37" t="s">
        <v>142</v>
      </c>
      <c r="B20" s="38" t="s">
        <v>143</v>
      </c>
    </row>
    <row r="21" spans="1:2" x14ac:dyDescent="0.35">
      <c r="B21" s="40" t="s">
        <v>144</v>
      </c>
    </row>
    <row r="22" spans="1:2" x14ac:dyDescent="0.35">
      <c r="B22" s="40" t="s">
        <v>145</v>
      </c>
    </row>
    <row r="23" spans="1:2" x14ac:dyDescent="0.35">
      <c r="B23" s="40" t="s">
        <v>146</v>
      </c>
    </row>
    <row r="24" spans="1:2" ht="29" x14ac:dyDescent="0.35">
      <c r="B24" s="42" t="s">
        <v>147</v>
      </c>
    </row>
    <row r="26" spans="1:2" ht="18.5" x14ac:dyDescent="0.45">
      <c r="A26" s="37" t="s">
        <v>148</v>
      </c>
      <c r="B26" s="38" t="s">
        <v>149</v>
      </c>
    </row>
    <row r="27" spans="1:2" x14ac:dyDescent="0.35">
      <c r="B27" s="40" t="s">
        <v>150</v>
      </c>
    </row>
    <row r="28" spans="1:2" x14ac:dyDescent="0.35">
      <c r="B28" t="s">
        <v>151</v>
      </c>
    </row>
    <row r="29" spans="1:2" x14ac:dyDescent="0.35">
      <c r="B29" t="s">
        <v>152</v>
      </c>
    </row>
    <row r="30" spans="1:2" x14ac:dyDescent="0.35">
      <c r="B30" t="s">
        <v>153</v>
      </c>
    </row>
    <row r="31" spans="1:2" x14ac:dyDescent="0.35">
      <c r="B31" t="s">
        <v>154</v>
      </c>
    </row>
    <row r="32" spans="1:2" x14ac:dyDescent="0.35">
      <c r="B32" t="s">
        <v>155</v>
      </c>
    </row>
    <row r="33" spans="1:2" x14ac:dyDescent="0.35">
      <c r="B33" s="20" t="s">
        <v>156</v>
      </c>
    </row>
    <row r="35" spans="1:2" ht="18.5" x14ac:dyDescent="0.45">
      <c r="A35" s="37" t="s">
        <v>157</v>
      </c>
      <c r="B35" s="38" t="s">
        <v>158</v>
      </c>
    </row>
    <row r="36" spans="1:2" ht="29" x14ac:dyDescent="0.35">
      <c r="B36" s="42" t="s">
        <v>159</v>
      </c>
    </row>
    <row r="37" spans="1:2" x14ac:dyDescent="0.35">
      <c r="B37" s="42" t="s">
        <v>160</v>
      </c>
    </row>
    <row r="38" spans="1:2" ht="29" x14ac:dyDescent="0.35">
      <c r="B38" s="43" t="s">
        <v>161</v>
      </c>
    </row>
    <row r="40" spans="1:2" ht="17" x14ac:dyDescent="0.4">
      <c r="B40" s="46" t="s">
        <v>162</v>
      </c>
    </row>
    <row r="41" spans="1:2" x14ac:dyDescent="0.35">
      <c r="A41" s="44" t="s">
        <v>163</v>
      </c>
      <c r="B41" s="45" t="s">
        <v>164</v>
      </c>
    </row>
    <row r="42" spans="1:2" ht="29" x14ac:dyDescent="0.35">
      <c r="A42" s="39" t="s">
        <v>165</v>
      </c>
      <c r="B42" s="40" t="s">
        <v>166</v>
      </c>
    </row>
    <row r="43" spans="1:2" ht="29" x14ac:dyDescent="0.35">
      <c r="A43" s="44" t="s">
        <v>167</v>
      </c>
      <c r="B43" s="45" t="s">
        <v>168</v>
      </c>
    </row>
    <row r="44" spans="1:2" ht="29" x14ac:dyDescent="0.35">
      <c r="A44" s="39" t="s">
        <v>169</v>
      </c>
      <c r="B44" s="40" t="s">
        <v>170</v>
      </c>
    </row>
    <row r="45" spans="1:2" ht="29" x14ac:dyDescent="0.35">
      <c r="A45" s="44" t="s">
        <v>171</v>
      </c>
      <c r="B45" s="45" t="s">
        <v>172</v>
      </c>
    </row>
    <row r="46" spans="1:2" ht="29" x14ac:dyDescent="0.35">
      <c r="A46" s="39" t="s">
        <v>173</v>
      </c>
      <c r="B46" s="40" t="s">
        <v>174</v>
      </c>
    </row>
    <row r="48" spans="1:2" ht="17" x14ac:dyDescent="0.4">
      <c r="B48" s="46" t="s">
        <v>175</v>
      </c>
    </row>
    <row r="49" spans="2:2" ht="29" x14ac:dyDescent="0.35">
      <c r="B49" s="40" t="s">
        <v>176</v>
      </c>
    </row>
    <row r="50" spans="2:2" x14ac:dyDescent="0.35">
      <c r="B50" s="40" t="s">
        <v>177</v>
      </c>
    </row>
    <row r="51" spans="2:2" ht="29" x14ac:dyDescent="0.35">
      <c r="B51" s="40" t="s">
        <v>178</v>
      </c>
    </row>
    <row r="52" spans="2:2" ht="29" x14ac:dyDescent="0.35">
      <c r="B52" s="40" t="s">
        <v>179</v>
      </c>
    </row>
    <row r="53" spans="2:2" ht="29" x14ac:dyDescent="0.35">
      <c r="B53" s="40" t="s">
        <v>180</v>
      </c>
    </row>
    <row r="54" spans="2:2" ht="29" x14ac:dyDescent="0.35">
      <c r="B54" s="40" t="s">
        <v>181</v>
      </c>
    </row>
    <row r="55" spans="2:2" x14ac:dyDescent="0.35">
      <c r="B55" s="40" t="s">
        <v>182</v>
      </c>
    </row>
    <row r="57" spans="2:2" ht="17" x14ac:dyDescent="0.4">
      <c r="B57" s="46" t="s">
        <v>183</v>
      </c>
    </row>
    <row r="58" spans="2:2" ht="29" x14ac:dyDescent="0.35">
      <c r="B58" s="40" t="s">
        <v>184</v>
      </c>
    </row>
    <row r="59" spans="2:2" ht="29" x14ac:dyDescent="0.35">
      <c r="B59" s="40" t="s">
        <v>185</v>
      </c>
    </row>
    <row r="60" spans="2:2" x14ac:dyDescent="0.35">
      <c r="B60" s="40" t="s">
        <v>186</v>
      </c>
    </row>
    <row r="61" spans="2:2" x14ac:dyDescent="0.35">
      <c r="B61" s="20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CFE4-2B61-467F-9651-6C798C475B30}">
  <dimension ref="A1:P47"/>
  <sheetViews>
    <sheetView topLeftCell="A12" zoomScale="85" zoomScaleNormal="85" workbookViewId="0">
      <selection activeCell="B53" sqref="B53"/>
    </sheetView>
  </sheetViews>
  <sheetFormatPr defaultRowHeight="14.5" x14ac:dyDescent="0.35"/>
  <cols>
    <col min="1" max="1" width="15.26953125" customWidth="1"/>
    <col min="2" max="2" width="40" customWidth="1"/>
    <col min="3" max="3" width="38.1796875" customWidth="1"/>
    <col min="4" max="15" width="18.1796875" customWidth="1"/>
    <col min="16" max="16" width="19" customWidth="1"/>
  </cols>
  <sheetData>
    <row r="1" spans="1:16" ht="18.5" x14ac:dyDescent="0.45">
      <c r="A1" s="24" t="s">
        <v>0</v>
      </c>
    </row>
    <row r="2" spans="1:16" x14ac:dyDescent="0.35">
      <c r="A2" s="20" t="s">
        <v>1</v>
      </c>
      <c r="B2" s="56"/>
      <c r="C2" s="20" t="s">
        <v>2</v>
      </c>
      <c r="D2" s="56"/>
      <c r="F2" s="20" t="s">
        <v>3</v>
      </c>
      <c r="G2" s="56"/>
    </row>
    <row r="3" spans="1:16" x14ac:dyDescent="0.35">
      <c r="A3" s="20" t="s">
        <v>4</v>
      </c>
      <c r="B3" s="56"/>
      <c r="C3" s="20" t="s">
        <v>5</v>
      </c>
      <c r="D3" s="25"/>
      <c r="F3" s="20" t="s">
        <v>6</v>
      </c>
      <c r="G3" s="57">
        <v>2026</v>
      </c>
    </row>
    <row r="5" spans="1:16" x14ac:dyDescent="0.35">
      <c r="A5" s="26" t="s">
        <v>7</v>
      </c>
      <c r="B5" s="69" t="s">
        <v>8</v>
      </c>
      <c r="D5" s="70" t="s">
        <v>9</v>
      </c>
      <c r="E5" s="79"/>
      <c r="F5" s="47" t="s">
        <v>10</v>
      </c>
      <c r="G5" s="80"/>
    </row>
    <row r="7" spans="1:16" x14ac:dyDescent="0.35">
      <c r="A7" s="27" t="s">
        <v>11</v>
      </c>
      <c r="B7" s="27" t="s">
        <v>12</v>
      </c>
      <c r="C7" s="74" t="s">
        <v>13</v>
      </c>
      <c r="D7" s="28" t="s">
        <v>14</v>
      </c>
      <c r="E7" s="28" t="s">
        <v>15</v>
      </c>
      <c r="F7" s="28" t="s">
        <v>16</v>
      </c>
      <c r="G7" s="28" t="s">
        <v>17</v>
      </c>
      <c r="H7" s="28" t="s">
        <v>18</v>
      </c>
      <c r="I7" s="28" t="s">
        <v>19</v>
      </c>
      <c r="J7" s="28" t="s">
        <v>20</v>
      </c>
      <c r="K7" s="28" t="s">
        <v>21</v>
      </c>
      <c r="L7" s="28" t="s">
        <v>22</v>
      </c>
      <c r="M7" s="28" t="s">
        <v>23</v>
      </c>
      <c r="N7" s="28" t="s">
        <v>24</v>
      </c>
      <c r="O7" s="28" t="s">
        <v>25</v>
      </c>
      <c r="P7" s="28" t="s">
        <v>26</v>
      </c>
    </row>
    <row r="9" spans="1:16" x14ac:dyDescent="0.35">
      <c r="A9" s="29" t="s">
        <v>27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x14ac:dyDescent="0.35">
      <c r="A10" s="30" t="s">
        <v>28</v>
      </c>
      <c r="B10" s="31" t="s">
        <v>29</v>
      </c>
      <c r="C10" s="75" t="s">
        <v>30</v>
      </c>
      <c r="D10" s="62"/>
      <c r="E10" s="62"/>
      <c r="F10" s="62"/>
      <c r="G10" s="63">
        <f t="shared" ref="E10:O10" si="0">F22</f>
        <v>0</v>
      </c>
      <c r="H10" s="63">
        <f t="shared" si="0"/>
        <v>0</v>
      </c>
      <c r="I10" s="63">
        <f t="shared" si="0"/>
        <v>0</v>
      </c>
      <c r="J10" s="63">
        <f t="shared" si="0"/>
        <v>0</v>
      </c>
      <c r="K10" s="63">
        <f t="shared" si="0"/>
        <v>0</v>
      </c>
      <c r="L10" s="63">
        <f t="shared" si="0"/>
        <v>0</v>
      </c>
      <c r="M10" s="63">
        <f t="shared" si="0"/>
        <v>0</v>
      </c>
      <c r="N10" s="63">
        <f t="shared" si="0"/>
        <v>0</v>
      </c>
      <c r="O10" s="63">
        <f t="shared" si="0"/>
        <v>0</v>
      </c>
      <c r="P10" s="62">
        <f>D10</f>
        <v>0</v>
      </c>
    </row>
    <row r="11" spans="1:16" x14ac:dyDescent="0.35">
      <c r="A11" s="30" t="s">
        <v>31</v>
      </c>
      <c r="B11" s="31" t="s">
        <v>32</v>
      </c>
      <c r="C11" s="75" t="s">
        <v>33</v>
      </c>
      <c r="D11" s="58"/>
      <c r="E11" s="58"/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2">
        <f t="shared" ref="P11:P19" si="1">SUM(D11:O11)</f>
        <v>0</v>
      </c>
    </row>
    <row r="12" spans="1:16" x14ac:dyDescent="0.35">
      <c r="A12" s="31" t="s">
        <v>31</v>
      </c>
      <c r="B12" s="31" t="s">
        <v>34</v>
      </c>
      <c r="C12" s="75" t="s">
        <v>35</v>
      </c>
      <c r="D12" s="58"/>
      <c r="E12" s="58"/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2">
        <f t="shared" si="1"/>
        <v>0</v>
      </c>
    </row>
    <row r="13" spans="1:16" x14ac:dyDescent="0.35">
      <c r="A13" s="31" t="s">
        <v>31</v>
      </c>
      <c r="B13" s="31" t="s">
        <v>36</v>
      </c>
      <c r="C13" s="75" t="s">
        <v>37</v>
      </c>
      <c r="D13" s="58"/>
      <c r="E13" s="58"/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2">
        <f t="shared" si="1"/>
        <v>0</v>
      </c>
    </row>
    <row r="14" spans="1:16" x14ac:dyDescent="0.35">
      <c r="A14" s="31" t="s">
        <v>31</v>
      </c>
      <c r="B14" s="31" t="s">
        <v>38</v>
      </c>
      <c r="C14" s="75" t="s">
        <v>39</v>
      </c>
      <c r="D14" s="58"/>
      <c r="E14" s="58"/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2">
        <f t="shared" si="1"/>
        <v>0</v>
      </c>
    </row>
    <row r="15" spans="1:16" x14ac:dyDescent="0.35">
      <c r="A15" s="31" t="s">
        <v>31</v>
      </c>
      <c r="B15" s="31" t="s">
        <v>40</v>
      </c>
      <c r="C15" s="75" t="s">
        <v>41</v>
      </c>
      <c r="D15" s="58"/>
      <c r="E15" s="58"/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2">
        <f t="shared" si="1"/>
        <v>0</v>
      </c>
    </row>
    <row r="16" spans="1:16" x14ac:dyDescent="0.35">
      <c r="A16" s="31" t="s">
        <v>31</v>
      </c>
      <c r="B16" s="31" t="s">
        <v>42</v>
      </c>
      <c r="C16" s="75" t="s">
        <v>43</v>
      </c>
      <c r="D16" s="58"/>
      <c r="E16" s="58"/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2">
        <f t="shared" si="1"/>
        <v>0</v>
      </c>
    </row>
    <row r="17" spans="1:16" x14ac:dyDescent="0.35">
      <c r="A17" s="31" t="s">
        <v>31</v>
      </c>
      <c r="B17" s="31" t="s">
        <v>44</v>
      </c>
      <c r="C17" s="75" t="s">
        <v>45</v>
      </c>
      <c r="D17" s="58"/>
      <c r="E17" s="58"/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2">
        <f t="shared" si="1"/>
        <v>0</v>
      </c>
    </row>
    <row r="18" spans="1:16" x14ac:dyDescent="0.35">
      <c r="A18" s="31" t="s">
        <v>31</v>
      </c>
      <c r="B18" s="31" t="s">
        <v>46</v>
      </c>
      <c r="C18" s="75" t="s">
        <v>47</v>
      </c>
      <c r="D18" s="58"/>
      <c r="E18" s="58"/>
      <c r="F18" s="58"/>
      <c r="G18" s="60"/>
      <c r="H18" s="60"/>
      <c r="I18" s="60"/>
      <c r="J18" s="60"/>
      <c r="K18" s="60"/>
      <c r="L18" s="60"/>
      <c r="M18" s="60"/>
      <c r="N18" s="60"/>
      <c r="O18" s="60"/>
      <c r="P18" s="62">
        <f t="shared" si="1"/>
        <v>0</v>
      </c>
    </row>
    <row r="19" spans="1:16" x14ac:dyDescent="0.35">
      <c r="A19" s="81" t="s">
        <v>31</v>
      </c>
      <c r="B19" s="81" t="s">
        <v>48</v>
      </c>
      <c r="C19" s="36"/>
      <c r="D19" s="59"/>
      <c r="E19" s="59"/>
      <c r="F19" s="59"/>
      <c r="G19" s="61"/>
      <c r="H19" s="61"/>
      <c r="I19" s="61"/>
      <c r="J19" s="61"/>
      <c r="K19" s="61"/>
      <c r="L19" s="61"/>
      <c r="M19" s="61"/>
      <c r="N19" s="61"/>
      <c r="O19" s="61"/>
      <c r="P19" s="68">
        <f t="shared" si="1"/>
        <v>0</v>
      </c>
    </row>
    <row r="20" spans="1:16" ht="15" thickBot="1" x14ac:dyDescent="0.4">
      <c r="A20" s="76"/>
      <c r="B20" s="33" t="s">
        <v>49</v>
      </c>
      <c r="C20" s="76"/>
      <c r="D20" s="64">
        <f t="shared" ref="D20:P20" si="2">SUM(D11:D19)</f>
        <v>0</v>
      </c>
      <c r="E20" s="64">
        <f t="shared" si="2"/>
        <v>0</v>
      </c>
      <c r="F20" s="64">
        <f t="shared" si="2"/>
        <v>0</v>
      </c>
      <c r="G20" s="65">
        <f t="shared" si="2"/>
        <v>0</v>
      </c>
      <c r="H20" s="65">
        <f t="shared" si="2"/>
        <v>0</v>
      </c>
      <c r="I20" s="65">
        <f t="shared" si="2"/>
        <v>0</v>
      </c>
      <c r="J20" s="65">
        <f t="shared" si="2"/>
        <v>0</v>
      </c>
      <c r="K20" s="65">
        <f t="shared" si="2"/>
        <v>0</v>
      </c>
      <c r="L20" s="65">
        <f t="shared" si="2"/>
        <v>0</v>
      </c>
      <c r="M20" s="65">
        <f t="shared" si="2"/>
        <v>0</v>
      </c>
      <c r="N20" s="65">
        <f t="shared" si="2"/>
        <v>0</v>
      </c>
      <c r="O20" s="65">
        <f t="shared" si="2"/>
        <v>0</v>
      </c>
      <c r="P20" s="64">
        <f t="shared" si="2"/>
        <v>0</v>
      </c>
    </row>
    <row r="21" spans="1:16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16" ht="15" thickBot="1" x14ac:dyDescent="0.4">
      <c r="A22" s="48" t="s">
        <v>50</v>
      </c>
      <c r="B22" s="48" t="s">
        <v>51</v>
      </c>
      <c r="C22" s="77" t="s">
        <v>52</v>
      </c>
      <c r="D22" s="49">
        <f t="shared" ref="D22:P22" si="3">D10+D20</f>
        <v>0</v>
      </c>
      <c r="E22" s="49">
        <f t="shared" si="3"/>
        <v>0</v>
      </c>
      <c r="F22" s="49">
        <f t="shared" si="3"/>
        <v>0</v>
      </c>
      <c r="G22" s="50">
        <f t="shared" si="3"/>
        <v>0</v>
      </c>
      <c r="H22" s="50">
        <f t="shared" si="3"/>
        <v>0</v>
      </c>
      <c r="I22" s="50">
        <f t="shared" si="3"/>
        <v>0</v>
      </c>
      <c r="J22" s="50">
        <f t="shared" si="3"/>
        <v>0</v>
      </c>
      <c r="K22" s="50">
        <f t="shared" si="3"/>
        <v>0</v>
      </c>
      <c r="L22" s="50">
        <f t="shared" si="3"/>
        <v>0</v>
      </c>
      <c r="M22" s="50">
        <f t="shared" si="3"/>
        <v>0</v>
      </c>
      <c r="N22" s="50">
        <f t="shared" si="3"/>
        <v>0</v>
      </c>
      <c r="O22" s="50">
        <f t="shared" si="3"/>
        <v>0</v>
      </c>
      <c r="P22" s="49">
        <f t="shared" si="3"/>
        <v>0</v>
      </c>
    </row>
    <row r="24" spans="1:16" x14ac:dyDescent="0.35">
      <c r="A24" s="29" t="s">
        <v>53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 x14ac:dyDescent="0.35">
      <c r="A25" s="30" t="s">
        <v>54</v>
      </c>
      <c r="B25" s="31" t="s">
        <v>55</v>
      </c>
      <c r="C25" s="75" t="s">
        <v>56</v>
      </c>
      <c r="D25" s="58"/>
      <c r="E25" s="58"/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2">
        <f>D25</f>
        <v>0</v>
      </c>
    </row>
    <row r="26" spans="1:16" x14ac:dyDescent="0.35">
      <c r="A26" s="30" t="s">
        <v>54</v>
      </c>
      <c r="B26" s="31" t="s">
        <v>57</v>
      </c>
      <c r="C26" s="75" t="s">
        <v>56</v>
      </c>
      <c r="D26" s="58"/>
      <c r="E26" s="58"/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2">
        <f>SUM(D26:O26)</f>
        <v>0</v>
      </c>
    </row>
    <row r="27" spans="1:16" x14ac:dyDescent="0.35">
      <c r="A27" s="30" t="s">
        <v>54</v>
      </c>
      <c r="B27" s="31" t="s">
        <v>58</v>
      </c>
      <c r="C27" s="75" t="s">
        <v>56</v>
      </c>
      <c r="D27" s="58"/>
      <c r="E27" s="58"/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2">
        <f>SUM(D27:O27)</f>
        <v>0</v>
      </c>
    </row>
    <row r="28" spans="1:16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5" thickBot="1" x14ac:dyDescent="0.4">
      <c r="A29" s="48" t="s">
        <v>50</v>
      </c>
      <c r="B29" s="48" t="s">
        <v>59</v>
      </c>
      <c r="C29" s="77" t="s">
        <v>60</v>
      </c>
      <c r="D29" s="49">
        <f t="shared" ref="D29:P29" si="4">D25+D26+D27</f>
        <v>0</v>
      </c>
      <c r="E29" s="49">
        <f t="shared" si="4"/>
        <v>0</v>
      </c>
      <c r="F29" s="49">
        <f t="shared" si="4"/>
        <v>0</v>
      </c>
      <c r="G29" s="50">
        <f t="shared" si="4"/>
        <v>0</v>
      </c>
      <c r="H29" s="50">
        <f t="shared" si="4"/>
        <v>0</v>
      </c>
      <c r="I29" s="50">
        <f t="shared" si="4"/>
        <v>0</v>
      </c>
      <c r="J29" s="50">
        <f t="shared" si="4"/>
        <v>0</v>
      </c>
      <c r="K29" s="50">
        <f t="shared" si="4"/>
        <v>0</v>
      </c>
      <c r="L29" s="50">
        <f t="shared" si="4"/>
        <v>0</v>
      </c>
      <c r="M29" s="50">
        <f t="shared" si="4"/>
        <v>0</v>
      </c>
      <c r="N29" s="50">
        <f t="shared" si="4"/>
        <v>0</v>
      </c>
      <c r="O29" s="50">
        <f t="shared" si="4"/>
        <v>0</v>
      </c>
      <c r="P29" s="49">
        <f t="shared" si="4"/>
        <v>0</v>
      </c>
    </row>
    <row r="31" spans="1:16" x14ac:dyDescent="0.35">
      <c r="A31" s="29" t="s">
        <v>61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x14ac:dyDescent="0.35">
      <c r="A32" s="30" t="s">
        <v>62</v>
      </c>
      <c r="B32" s="31" t="s">
        <v>63</v>
      </c>
      <c r="C32" s="75" t="s">
        <v>64</v>
      </c>
      <c r="D32" s="58">
        <v>0</v>
      </c>
      <c r="E32" s="58">
        <v>0</v>
      </c>
      <c r="F32" s="58">
        <v>0</v>
      </c>
      <c r="G32" s="60"/>
      <c r="H32" s="60"/>
      <c r="I32" s="60"/>
      <c r="J32" s="60"/>
      <c r="K32" s="60"/>
      <c r="L32" s="60"/>
      <c r="M32" s="60"/>
      <c r="N32" s="60"/>
      <c r="O32" s="60"/>
      <c r="P32" s="62">
        <f t="shared" ref="P32:P38" si="5">SUM(D32:O32)</f>
        <v>0</v>
      </c>
    </row>
    <row r="33" spans="1:16" x14ac:dyDescent="0.35">
      <c r="A33" s="30" t="s">
        <v>62</v>
      </c>
      <c r="B33" s="31" t="s">
        <v>65</v>
      </c>
      <c r="C33" s="75" t="s">
        <v>66</v>
      </c>
      <c r="D33" s="58">
        <v>0</v>
      </c>
      <c r="E33" s="58">
        <v>0</v>
      </c>
      <c r="F33" s="58">
        <v>0</v>
      </c>
      <c r="G33" s="60"/>
      <c r="H33" s="60"/>
      <c r="I33" s="60"/>
      <c r="J33" s="60"/>
      <c r="K33" s="60"/>
      <c r="L33" s="60"/>
      <c r="M33" s="60"/>
      <c r="N33" s="60"/>
      <c r="O33" s="60"/>
      <c r="P33" s="62">
        <f t="shared" si="5"/>
        <v>0</v>
      </c>
    </row>
    <row r="34" spans="1:16" x14ac:dyDescent="0.35">
      <c r="A34" s="30" t="s">
        <v>62</v>
      </c>
      <c r="B34" s="31" t="s">
        <v>67</v>
      </c>
      <c r="C34" s="75" t="s">
        <v>68</v>
      </c>
      <c r="D34" s="58">
        <v>0</v>
      </c>
      <c r="E34" s="58">
        <v>0</v>
      </c>
      <c r="F34" s="58">
        <v>0</v>
      </c>
      <c r="G34" s="60"/>
      <c r="H34" s="60"/>
      <c r="I34" s="60"/>
      <c r="J34" s="60"/>
      <c r="K34" s="60"/>
      <c r="L34" s="60"/>
      <c r="M34" s="60"/>
      <c r="N34" s="60"/>
      <c r="O34" s="60"/>
      <c r="P34" s="62">
        <f t="shared" si="5"/>
        <v>0</v>
      </c>
    </row>
    <row r="35" spans="1:16" x14ac:dyDescent="0.35">
      <c r="A35" s="31" t="s">
        <v>62</v>
      </c>
      <c r="B35" s="31" t="s">
        <v>69</v>
      </c>
      <c r="C35" s="75" t="s">
        <v>68</v>
      </c>
      <c r="D35" s="58">
        <v>0</v>
      </c>
      <c r="E35" s="58">
        <v>0</v>
      </c>
      <c r="F35" s="58">
        <v>0</v>
      </c>
      <c r="G35" s="60"/>
      <c r="H35" s="60"/>
      <c r="I35" s="60"/>
      <c r="J35" s="60"/>
      <c r="K35" s="60"/>
      <c r="L35" s="60"/>
      <c r="M35" s="60"/>
      <c r="N35" s="60"/>
      <c r="O35" s="60"/>
      <c r="P35" s="62">
        <f t="shared" si="5"/>
        <v>0</v>
      </c>
    </row>
    <row r="36" spans="1:16" x14ac:dyDescent="0.35">
      <c r="A36" s="31" t="s">
        <v>62</v>
      </c>
      <c r="B36" s="31" t="s">
        <v>70</v>
      </c>
      <c r="C36" s="75" t="s">
        <v>71</v>
      </c>
      <c r="D36" s="58">
        <v>0</v>
      </c>
      <c r="E36" s="58">
        <v>0</v>
      </c>
      <c r="F36" s="58">
        <v>0</v>
      </c>
      <c r="G36" s="60"/>
      <c r="H36" s="60"/>
      <c r="I36" s="60"/>
      <c r="J36" s="60"/>
      <c r="K36" s="60"/>
      <c r="L36" s="60"/>
      <c r="M36" s="60"/>
      <c r="N36" s="60"/>
      <c r="O36" s="60"/>
      <c r="P36" s="62">
        <f t="shared" si="5"/>
        <v>0</v>
      </c>
    </row>
    <row r="37" spans="1:16" x14ac:dyDescent="0.35">
      <c r="A37" s="31" t="s">
        <v>62</v>
      </c>
      <c r="B37" s="31" t="s">
        <v>72</v>
      </c>
      <c r="C37" s="75" t="s">
        <v>73</v>
      </c>
      <c r="D37" s="58">
        <v>0</v>
      </c>
      <c r="E37" s="58">
        <v>0</v>
      </c>
      <c r="F37" s="58">
        <v>0</v>
      </c>
      <c r="G37" s="60"/>
      <c r="H37" s="60"/>
      <c r="I37" s="60"/>
      <c r="J37" s="60"/>
      <c r="K37" s="60"/>
      <c r="L37" s="60"/>
      <c r="M37" s="60"/>
      <c r="N37" s="60"/>
      <c r="O37" s="60"/>
      <c r="P37" s="62">
        <f t="shared" si="5"/>
        <v>0</v>
      </c>
    </row>
    <row r="38" spans="1:16" x14ac:dyDescent="0.35">
      <c r="A38" s="81" t="s">
        <v>62</v>
      </c>
      <c r="B38" s="81" t="s">
        <v>74</v>
      </c>
      <c r="C38" s="23"/>
      <c r="D38" s="59">
        <v>0</v>
      </c>
      <c r="E38" s="59">
        <v>0</v>
      </c>
      <c r="F38" s="59">
        <v>0</v>
      </c>
      <c r="G38" s="61"/>
      <c r="H38" s="61"/>
      <c r="I38" s="61"/>
      <c r="J38" s="61"/>
      <c r="K38" s="61"/>
      <c r="L38" s="61"/>
      <c r="M38" s="61"/>
      <c r="N38" s="61"/>
      <c r="O38" s="61"/>
      <c r="P38" s="68">
        <f t="shared" si="5"/>
        <v>0</v>
      </c>
    </row>
    <row r="39" spans="1:16" ht="15" thickBot="1" x14ac:dyDescent="0.4">
      <c r="A39" s="76"/>
      <c r="B39" s="33" t="s">
        <v>75</v>
      </c>
      <c r="C39" s="76"/>
      <c r="D39" s="64">
        <f t="shared" ref="D39:P39" si="6">SUM(D32:D38)</f>
        <v>0</v>
      </c>
      <c r="E39" s="64">
        <f t="shared" si="6"/>
        <v>0</v>
      </c>
      <c r="F39" s="64">
        <f t="shared" si="6"/>
        <v>0</v>
      </c>
      <c r="G39" s="65">
        <f t="shared" si="6"/>
        <v>0</v>
      </c>
      <c r="H39" s="65">
        <f t="shared" si="6"/>
        <v>0</v>
      </c>
      <c r="I39" s="65">
        <f t="shared" si="6"/>
        <v>0</v>
      </c>
      <c r="J39" s="65">
        <f t="shared" si="6"/>
        <v>0</v>
      </c>
      <c r="K39" s="65">
        <f t="shared" si="6"/>
        <v>0</v>
      </c>
      <c r="L39" s="65">
        <f t="shared" si="6"/>
        <v>0</v>
      </c>
      <c r="M39" s="65">
        <f t="shared" si="6"/>
        <v>0</v>
      </c>
      <c r="N39" s="65">
        <f t="shared" si="6"/>
        <v>0</v>
      </c>
      <c r="O39" s="65">
        <f t="shared" si="6"/>
        <v>0</v>
      </c>
      <c r="P39" s="64">
        <f t="shared" si="6"/>
        <v>0</v>
      </c>
    </row>
    <row r="41" spans="1:16" x14ac:dyDescent="0.35">
      <c r="A41" s="29" t="s">
        <v>76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x14ac:dyDescent="0.35">
      <c r="A42" s="30" t="s">
        <v>77</v>
      </c>
      <c r="B42" s="32" t="s">
        <v>78</v>
      </c>
      <c r="C42" s="75" t="s">
        <v>79</v>
      </c>
      <c r="D42" s="66">
        <f t="shared" ref="D42:P42" si="7">D22+D39</f>
        <v>0</v>
      </c>
      <c r="E42" s="66">
        <f t="shared" si="7"/>
        <v>0</v>
      </c>
      <c r="F42" s="66">
        <f t="shared" si="7"/>
        <v>0</v>
      </c>
      <c r="G42" s="67">
        <f t="shared" si="7"/>
        <v>0</v>
      </c>
      <c r="H42" s="67">
        <f t="shared" si="7"/>
        <v>0</v>
      </c>
      <c r="I42" s="67">
        <f t="shared" si="7"/>
        <v>0</v>
      </c>
      <c r="J42" s="67">
        <f t="shared" si="7"/>
        <v>0</v>
      </c>
      <c r="K42" s="67">
        <f t="shared" si="7"/>
        <v>0</v>
      </c>
      <c r="L42" s="67">
        <f t="shared" si="7"/>
        <v>0</v>
      </c>
      <c r="M42" s="67">
        <f t="shared" si="7"/>
        <v>0</v>
      </c>
      <c r="N42" s="67">
        <f t="shared" si="7"/>
        <v>0</v>
      </c>
      <c r="O42" s="67">
        <f t="shared" si="7"/>
        <v>0</v>
      </c>
      <c r="P42" s="66">
        <f t="shared" si="7"/>
        <v>0</v>
      </c>
    </row>
    <row r="43" spans="1:16" x14ac:dyDescent="0.35">
      <c r="A43" s="30" t="s">
        <v>77</v>
      </c>
      <c r="B43" s="32" t="s">
        <v>59</v>
      </c>
      <c r="C43" s="75" t="s">
        <v>80</v>
      </c>
      <c r="D43" s="66">
        <f t="shared" ref="D43:P43" si="8">D29</f>
        <v>0</v>
      </c>
      <c r="E43" s="66">
        <f t="shared" si="8"/>
        <v>0</v>
      </c>
      <c r="F43" s="66">
        <f t="shared" si="8"/>
        <v>0</v>
      </c>
      <c r="G43" s="67">
        <f t="shared" si="8"/>
        <v>0</v>
      </c>
      <c r="H43" s="67">
        <f t="shared" si="8"/>
        <v>0</v>
      </c>
      <c r="I43" s="67">
        <f t="shared" si="8"/>
        <v>0</v>
      </c>
      <c r="J43" s="67">
        <f t="shared" si="8"/>
        <v>0</v>
      </c>
      <c r="K43" s="67">
        <f t="shared" si="8"/>
        <v>0</v>
      </c>
      <c r="L43" s="67">
        <f t="shared" si="8"/>
        <v>0</v>
      </c>
      <c r="M43" s="67">
        <f t="shared" si="8"/>
        <v>0</v>
      </c>
      <c r="N43" s="67">
        <f t="shared" si="8"/>
        <v>0</v>
      </c>
      <c r="O43" s="67">
        <f t="shared" si="8"/>
        <v>0</v>
      </c>
      <c r="P43" s="66">
        <f t="shared" si="8"/>
        <v>0</v>
      </c>
    </row>
    <row r="44" spans="1:16" ht="15" thickBot="1" x14ac:dyDescent="0.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15" thickBot="1" x14ac:dyDescent="0.4">
      <c r="A45" s="35" t="s">
        <v>81</v>
      </c>
      <c r="B45" s="35" t="s">
        <v>82</v>
      </c>
      <c r="C45" s="78"/>
      <c r="D45" s="51">
        <f>ROUND(D42-D43,2)</f>
        <v>0</v>
      </c>
      <c r="E45" s="51">
        <f>ROUND(E42-E43,2)</f>
        <v>0</v>
      </c>
      <c r="F45" s="51">
        <f>ROUND(F42-F43,2)</f>
        <v>0</v>
      </c>
      <c r="G45" s="51" t="str">
        <f t="shared" ref="G45:O45" si="9">IF(AND(G25=0,G26=0,G27=0),"",ROUND(G42-G43,2))</f>
        <v/>
      </c>
      <c r="H45" s="51" t="str">
        <f t="shared" si="9"/>
        <v/>
      </c>
      <c r="I45" s="51" t="str">
        <f t="shared" si="9"/>
        <v/>
      </c>
      <c r="J45" s="51" t="str">
        <f t="shared" si="9"/>
        <v/>
      </c>
      <c r="K45" s="51" t="str">
        <f t="shared" si="9"/>
        <v/>
      </c>
      <c r="L45" s="51" t="str">
        <f t="shared" si="9"/>
        <v/>
      </c>
      <c r="M45" s="51" t="str">
        <f t="shared" si="9"/>
        <v/>
      </c>
      <c r="N45" s="51" t="str">
        <f t="shared" si="9"/>
        <v/>
      </c>
      <c r="O45" s="51" t="str">
        <f t="shared" si="9"/>
        <v/>
      </c>
      <c r="P45" s="51">
        <f>ROUND(P42-P43,2)</f>
        <v>0</v>
      </c>
    </row>
    <row r="47" spans="1:16" ht="19.5" customHeight="1" x14ac:dyDescent="0.35">
      <c r="A47" s="82" t="s">
        <v>188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</row>
  </sheetData>
  <mergeCells count="1">
    <mergeCell ref="A47:P4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8312-3078-4C53-B76F-A2E51F3895C4}">
  <dimension ref="A1:N34"/>
  <sheetViews>
    <sheetView workbookViewId="0">
      <selection activeCell="F37" sqref="F37"/>
    </sheetView>
  </sheetViews>
  <sheetFormatPr defaultColWidth="9.1796875" defaultRowHeight="14.5" x14ac:dyDescent="0.35"/>
  <cols>
    <col min="1" max="2" width="9.1796875" style="1"/>
    <col min="3" max="3" width="9.453125" style="3" bestFit="1" customWidth="1"/>
    <col min="4" max="4" width="9.453125" style="1" bestFit="1" customWidth="1"/>
    <col min="5" max="5" width="11.54296875" style="1" bestFit="1" customWidth="1"/>
    <col min="6" max="6" width="104.26953125" style="1" bestFit="1" customWidth="1"/>
    <col min="7" max="7" width="9.1796875" style="1"/>
    <col min="8" max="8" width="12.26953125" style="2" bestFit="1" customWidth="1"/>
    <col min="9" max="10" width="36.26953125" style="1" bestFit="1" customWidth="1"/>
    <col min="11" max="11" width="11.54296875" style="2" bestFit="1" customWidth="1"/>
    <col min="12" max="16384" width="9.1796875" style="1"/>
  </cols>
  <sheetData>
    <row r="1" spans="1:14" x14ac:dyDescent="0.35">
      <c r="A1" s="16" t="s">
        <v>83</v>
      </c>
      <c r="B1" s="16" t="s">
        <v>84</v>
      </c>
      <c r="C1" s="18" t="s">
        <v>85</v>
      </c>
      <c r="D1" s="16" t="s">
        <v>86</v>
      </c>
      <c r="E1" s="16" t="s">
        <v>87</v>
      </c>
      <c r="F1" s="16" t="s">
        <v>88</v>
      </c>
      <c r="G1" s="16" t="s">
        <v>89</v>
      </c>
      <c r="H1" s="15" t="s">
        <v>90</v>
      </c>
      <c r="I1" s="15" t="s">
        <v>84</v>
      </c>
      <c r="J1" s="16" t="s">
        <v>91</v>
      </c>
      <c r="K1" s="15" t="s">
        <v>92</v>
      </c>
      <c r="L1" s="2" t="s">
        <v>92</v>
      </c>
      <c r="M1" s="2" t="s">
        <v>93</v>
      </c>
      <c r="N1" s="2" t="s">
        <v>94</v>
      </c>
    </row>
    <row r="2" spans="1:14" x14ac:dyDescent="0.35">
      <c r="A2" s="16">
        <v>8</v>
      </c>
      <c r="B2" s="16">
        <v>8490</v>
      </c>
      <c r="C2" s="18">
        <v>1</v>
      </c>
      <c r="D2" s="17">
        <v>46034</v>
      </c>
      <c r="E2" s="16"/>
      <c r="F2" s="16" t="s">
        <v>95</v>
      </c>
      <c r="G2" s="16"/>
      <c r="H2" s="15">
        <v>1000</v>
      </c>
      <c r="I2" s="15" t="s">
        <v>96</v>
      </c>
      <c r="J2" s="15" t="s">
        <v>32</v>
      </c>
      <c r="K2" s="15">
        <f t="shared" ref="K2:K34" si="0">ABS(H2)</f>
        <v>1000</v>
      </c>
    </row>
    <row r="3" spans="1:14" x14ac:dyDescent="0.35">
      <c r="A3" s="16">
        <v>9</v>
      </c>
      <c r="B3" s="16">
        <v>8490</v>
      </c>
      <c r="C3" s="18">
        <v>1</v>
      </c>
      <c r="D3" s="17">
        <v>46036</v>
      </c>
      <c r="E3" s="16"/>
      <c r="F3" s="16" t="s">
        <v>97</v>
      </c>
      <c r="G3" s="16"/>
      <c r="H3" s="15">
        <v>1500</v>
      </c>
      <c r="I3" s="15" t="s">
        <v>96</v>
      </c>
      <c r="J3" s="16" t="s">
        <v>38</v>
      </c>
      <c r="K3" s="15">
        <f t="shared" si="0"/>
        <v>1500</v>
      </c>
    </row>
    <row r="4" spans="1:14" x14ac:dyDescent="0.35">
      <c r="A4" s="16">
        <v>12</v>
      </c>
      <c r="B4" s="16">
        <v>8490</v>
      </c>
      <c r="C4" s="18">
        <v>1</v>
      </c>
      <c r="D4" s="17">
        <v>46036</v>
      </c>
      <c r="E4" s="16"/>
      <c r="F4" s="16" t="s">
        <v>98</v>
      </c>
      <c r="G4" s="16"/>
      <c r="H4" s="15">
        <v>-1752.95</v>
      </c>
      <c r="I4" s="15" t="s">
        <v>96</v>
      </c>
      <c r="J4" s="16" t="s">
        <v>42</v>
      </c>
      <c r="K4" s="15">
        <f t="shared" si="0"/>
        <v>1752.95</v>
      </c>
    </row>
    <row r="5" spans="1:14" x14ac:dyDescent="0.35">
      <c r="A5" s="16">
        <v>13</v>
      </c>
      <c r="B5" s="16">
        <v>8490</v>
      </c>
      <c r="C5" s="18">
        <v>1</v>
      </c>
      <c r="D5" s="17">
        <v>46037</v>
      </c>
      <c r="E5" s="16"/>
      <c r="F5" s="16" t="s">
        <v>99</v>
      </c>
      <c r="G5" s="16"/>
      <c r="H5" s="15">
        <v>-25</v>
      </c>
      <c r="I5" s="15" t="s">
        <v>96</v>
      </c>
      <c r="J5" s="16" t="s">
        <v>46</v>
      </c>
      <c r="K5" s="15">
        <f t="shared" si="0"/>
        <v>25</v>
      </c>
    </row>
    <row r="6" spans="1:14" x14ac:dyDescent="0.35">
      <c r="A6" s="16">
        <v>14</v>
      </c>
      <c r="B6" s="16">
        <v>8490</v>
      </c>
      <c r="C6" s="18">
        <v>1</v>
      </c>
      <c r="D6" s="17">
        <v>46038</v>
      </c>
      <c r="E6" s="16"/>
      <c r="F6" s="16" t="s">
        <v>100</v>
      </c>
      <c r="G6" s="16"/>
      <c r="H6" s="15">
        <v>-315000</v>
      </c>
      <c r="I6" s="15" t="s">
        <v>96</v>
      </c>
      <c r="J6" s="15" t="s">
        <v>32</v>
      </c>
      <c r="K6" s="15">
        <f t="shared" si="0"/>
        <v>315000</v>
      </c>
    </row>
    <row r="7" spans="1:14" x14ac:dyDescent="0.35">
      <c r="A7" s="16">
        <v>10</v>
      </c>
      <c r="B7" s="16">
        <v>8490</v>
      </c>
      <c r="C7" s="18">
        <v>1</v>
      </c>
      <c r="D7" s="17">
        <v>46038</v>
      </c>
      <c r="E7" s="16"/>
      <c r="F7" s="16" t="s">
        <v>101</v>
      </c>
      <c r="G7" s="16"/>
      <c r="H7" s="15">
        <v>316000</v>
      </c>
      <c r="I7" s="15" t="s">
        <v>96</v>
      </c>
      <c r="J7" s="16" t="s">
        <v>38</v>
      </c>
      <c r="K7" s="15">
        <f t="shared" si="0"/>
        <v>316000</v>
      </c>
    </row>
    <row r="8" spans="1:14" x14ac:dyDescent="0.35">
      <c r="A8" s="16">
        <v>15</v>
      </c>
      <c r="B8" s="16">
        <v>8490</v>
      </c>
      <c r="C8" s="18">
        <v>1</v>
      </c>
      <c r="D8" s="17">
        <v>46045</v>
      </c>
      <c r="E8" s="16"/>
      <c r="F8" s="16" t="s">
        <v>102</v>
      </c>
      <c r="G8" s="16"/>
      <c r="H8" s="15">
        <v>-290000</v>
      </c>
      <c r="I8" s="15" t="s">
        <v>96</v>
      </c>
      <c r="J8" s="16" t="s">
        <v>103</v>
      </c>
      <c r="K8" s="15">
        <f t="shared" si="0"/>
        <v>290000</v>
      </c>
    </row>
    <row r="9" spans="1:14" x14ac:dyDescent="0.35">
      <c r="A9" s="16">
        <v>11</v>
      </c>
      <c r="B9" s="16">
        <v>8490</v>
      </c>
      <c r="C9" s="18">
        <v>1</v>
      </c>
      <c r="D9" s="17">
        <v>46045</v>
      </c>
      <c r="E9" s="16"/>
      <c r="F9" s="16" t="s">
        <v>95</v>
      </c>
      <c r="G9" s="16"/>
      <c r="H9" s="15">
        <v>314000</v>
      </c>
      <c r="I9" s="15" t="s">
        <v>96</v>
      </c>
      <c r="J9" s="15" t="s">
        <v>32</v>
      </c>
      <c r="K9" s="15">
        <f t="shared" si="0"/>
        <v>314000</v>
      </c>
    </row>
    <row r="10" spans="1:14" x14ac:dyDescent="0.35">
      <c r="A10" s="12">
        <v>2</v>
      </c>
      <c r="B10" s="12">
        <v>4729</v>
      </c>
      <c r="C10" s="14">
        <v>1</v>
      </c>
      <c r="D10" s="13">
        <v>46034</v>
      </c>
      <c r="E10" s="12"/>
      <c r="F10" s="12" t="s">
        <v>104</v>
      </c>
      <c r="G10" s="12"/>
      <c r="H10" s="4"/>
      <c r="I10" s="4" t="s">
        <v>32</v>
      </c>
      <c r="J10" s="12" t="s">
        <v>96</v>
      </c>
      <c r="K10" s="4">
        <f t="shared" si="0"/>
        <v>0</v>
      </c>
    </row>
    <row r="11" spans="1:14" x14ac:dyDescent="0.35">
      <c r="A11" s="12">
        <v>1</v>
      </c>
      <c r="B11" s="12">
        <v>4729</v>
      </c>
      <c r="C11" s="14">
        <v>1</v>
      </c>
      <c r="D11" s="13">
        <v>46038</v>
      </c>
      <c r="E11" s="12"/>
      <c r="F11" s="12" t="s">
        <v>105</v>
      </c>
      <c r="G11" s="12"/>
      <c r="H11" s="4"/>
      <c r="I11" s="4" t="s">
        <v>32</v>
      </c>
      <c r="J11" s="12" t="s">
        <v>96</v>
      </c>
      <c r="K11" s="4">
        <f t="shared" si="0"/>
        <v>0</v>
      </c>
    </row>
    <row r="12" spans="1:14" x14ac:dyDescent="0.35">
      <c r="A12" s="12">
        <v>3</v>
      </c>
      <c r="B12" s="12">
        <v>4729</v>
      </c>
      <c r="C12" s="14">
        <v>1</v>
      </c>
      <c r="D12" s="13">
        <v>46045</v>
      </c>
      <c r="E12" s="12"/>
      <c r="F12" s="12" t="s">
        <v>104</v>
      </c>
      <c r="G12" s="12"/>
      <c r="H12" s="4"/>
      <c r="I12" s="4" t="s">
        <v>32</v>
      </c>
      <c r="J12" s="12" t="s">
        <v>96</v>
      </c>
      <c r="K12" s="4">
        <f t="shared" si="0"/>
        <v>0</v>
      </c>
    </row>
    <row r="13" spans="1:14" x14ac:dyDescent="0.35">
      <c r="A13" s="12">
        <v>16</v>
      </c>
      <c r="B13" s="12">
        <v>8490</v>
      </c>
      <c r="C13" s="14">
        <v>2</v>
      </c>
      <c r="D13" s="13">
        <v>46055</v>
      </c>
      <c r="E13" s="12"/>
      <c r="F13" s="12" t="s">
        <v>106</v>
      </c>
      <c r="G13" s="12"/>
      <c r="H13" s="4">
        <v>-62.25</v>
      </c>
      <c r="I13" s="4" t="s">
        <v>96</v>
      </c>
      <c r="J13" s="12" t="s">
        <v>36</v>
      </c>
      <c r="K13" s="4">
        <f t="shared" si="0"/>
        <v>62.25</v>
      </c>
    </row>
    <row r="14" spans="1:14" x14ac:dyDescent="0.35">
      <c r="A14" s="1">
        <v>17</v>
      </c>
      <c r="B14" s="1">
        <v>8490</v>
      </c>
      <c r="C14" s="3">
        <v>2</v>
      </c>
      <c r="D14" s="11">
        <v>46059</v>
      </c>
      <c r="F14" s="1" t="s">
        <v>107</v>
      </c>
      <c r="H14" s="2">
        <v>-1710</v>
      </c>
      <c r="I14" s="10" t="s">
        <v>96</v>
      </c>
      <c r="J14" s="9" t="s">
        <v>38</v>
      </c>
      <c r="K14" s="4">
        <f t="shared" si="0"/>
        <v>1710</v>
      </c>
    </row>
    <row r="15" spans="1:14" x14ac:dyDescent="0.35">
      <c r="A15" s="1">
        <v>18</v>
      </c>
      <c r="B15" s="1">
        <v>8490</v>
      </c>
      <c r="C15" s="3">
        <v>2</v>
      </c>
      <c r="D15" s="11">
        <v>46066</v>
      </c>
      <c r="F15" s="1" t="s">
        <v>108</v>
      </c>
      <c r="H15" s="2">
        <v>-55</v>
      </c>
      <c r="I15" s="10" t="s">
        <v>96</v>
      </c>
      <c r="J15" s="1" t="s">
        <v>46</v>
      </c>
      <c r="K15" s="4">
        <f t="shared" si="0"/>
        <v>55</v>
      </c>
    </row>
    <row r="16" spans="1:14" x14ac:dyDescent="0.35">
      <c r="A16" s="1">
        <v>19</v>
      </c>
      <c r="B16" s="1">
        <v>8490</v>
      </c>
      <c r="C16" s="3">
        <v>2</v>
      </c>
      <c r="D16" s="11">
        <v>46072</v>
      </c>
      <c r="F16" s="1" t="s">
        <v>109</v>
      </c>
      <c r="H16" s="2">
        <v>-275</v>
      </c>
      <c r="I16" s="10" t="s">
        <v>96</v>
      </c>
      <c r="J16" s="1" t="s">
        <v>44</v>
      </c>
      <c r="K16" s="4">
        <f t="shared" si="0"/>
        <v>275</v>
      </c>
    </row>
    <row r="17" spans="1:13" x14ac:dyDescent="0.35">
      <c r="A17" s="1">
        <v>20</v>
      </c>
      <c r="B17" s="1">
        <v>8490</v>
      </c>
      <c r="C17" s="3">
        <v>2</v>
      </c>
      <c r="D17" s="11">
        <v>46080</v>
      </c>
      <c r="F17" s="1" t="s">
        <v>110</v>
      </c>
      <c r="H17" s="2">
        <v>-42.21</v>
      </c>
      <c r="I17" s="10" t="s">
        <v>96</v>
      </c>
      <c r="J17" s="1" t="s">
        <v>36</v>
      </c>
      <c r="K17" s="4">
        <f t="shared" si="0"/>
        <v>42.21</v>
      </c>
    </row>
    <row r="18" spans="1:13" x14ac:dyDescent="0.35">
      <c r="A18" s="1">
        <v>21</v>
      </c>
      <c r="B18" s="1">
        <v>8490</v>
      </c>
      <c r="C18" s="3">
        <v>2</v>
      </c>
      <c r="D18" s="11">
        <v>46080</v>
      </c>
      <c r="F18" s="1" t="s">
        <v>111</v>
      </c>
      <c r="H18" s="2">
        <v>-420</v>
      </c>
      <c r="I18" s="10" t="s">
        <v>96</v>
      </c>
      <c r="J18" s="1" t="s">
        <v>44</v>
      </c>
      <c r="K18" s="4">
        <f t="shared" si="0"/>
        <v>420</v>
      </c>
    </row>
    <row r="19" spans="1:13" x14ac:dyDescent="0.35">
      <c r="A19" s="1">
        <v>4</v>
      </c>
      <c r="B19" s="1">
        <v>4729</v>
      </c>
      <c r="C19" s="3">
        <v>2</v>
      </c>
      <c r="D19" s="11">
        <v>46064</v>
      </c>
      <c r="F19" s="1">
        <v>8653065544</v>
      </c>
      <c r="H19" s="2">
        <v>1170.3900000000001</v>
      </c>
      <c r="I19" s="10" t="s">
        <v>32</v>
      </c>
      <c r="J19" s="10" t="s">
        <v>112</v>
      </c>
      <c r="K19" s="4">
        <f t="shared" si="0"/>
        <v>1170.3900000000001</v>
      </c>
    </row>
    <row r="20" spans="1:13" x14ac:dyDescent="0.35">
      <c r="A20" s="5"/>
      <c r="B20" s="5">
        <v>8896</v>
      </c>
      <c r="C20" s="8">
        <v>2</v>
      </c>
      <c r="D20" s="7">
        <v>46055</v>
      </c>
      <c r="E20" s="5"/>
      <c r="F20" s="5" t="s">
        <v>113</v>
      </c>
      <c r="G20" s="5"/>
      <c r="H20" s="6">
        <v>6</v>
      </c>
      <c r="I20" s="5" t="s">
        <v>114</v>
      </c>
      <c r="J20" s="5" t="s">
        <v>46</v>
      </c>
      <c r="K20" s="4">
        <f t="shared" si="0"/>
        <v>6</v>
      </c>
    </row>
    <row r="21" spans="1:13" x14ac:dyDescent="0.35">
      <c r="A21" s="1">
        <v>6</v>
      </c>
      <c r="B21" s="1">
        <v>8843</v>
      </c>
      <c r="C21" s="3">
        <v>2</v>
      </c>
      <c r="D21" s="11">
        <v>46055</v>
      </c>
      <c r="F21" s="1" t="s">
        <v>115</v>
      </c>
      <c r="H21" s="10">
        <v>-41</v>
      </c>
      <c r="I21" s="1" t="s">
        <v>36</v>
      </c>
      <c r="J21" s="1" t="s">
        <v>46</v>
      </c>
      <c r="K21" s="4">
        <f t="shared" si="0"/>
        <v>41</v>
      </c>
    </row>
    <row r="22" spans="1:13" x14ac:dyDescent="0.35">
      <c r="A22" s="12">
        <v>5</v>
      </c>
      <c r="B22" s="12">
        <v>8843</v>
      </c>
      <c r="C22" s="14">
        <v>2</v>
      </c>
      <c r="D22" s="13">
        <v>46055</v>
      </c>
      <c r="E22" s="12"/>
      <c r="F22" s="12" t="s">
        <v>116</v>
      </c>
      <c r="G22" s="12"/>
      <c r="H22" s="4"/>
      <c r="I22" s="12" t="s">
        <v>36</v>
      </c>
      <c r="J22" s="4" t="s">
        <v>96</v>
      </c>
      <c r="K22" s="4">
        <f t="shared" si="0"/>
        <v>0</v>
      </c>
    </row>
    <row r="23" spans="1:13" x14ac:dyDescent="0.35">
      <c r="A23" s="1">
        <v>7</v>
      </c>
      <c r="B23" s="1">
        <v>8843</v>
      </c>
      <c r="C23" s="3">
        <v>2</v>
      </c>
      <c r="D23" s="11">
        <v>46056</v>
      </c>
      <c r="F23" s="1" t="s">
        <v>117</v>
      </c>
      <c r="H23" s="10">
        <v>-1.21</v>
      </c>
      <c r="I23" s="1" t="s">
        <v>36</v>
      </c>
      <c r="J23" s="1" t="s">
        <v>118</v>
      </c>
      <c r="K23" s="4">
        <f t="shared" si="0"/>
        <v>1.21</v>
      </c>
    </row>
    <row r="24" spans="1:13" x14ac:dyDescent="0.35">
      <c r="A24" s="5">
        <v>25</v>
      </c>
      <c r="B24" s="5">
        <v>8843</v>
      </c>
      <c r="C24" s="8">
        <v>2</v>
      </c>
      <c r="D24" s="7">
        <v>46080</v>
      </c>
      <c r="E24" s="5"/>
      <c r="F24" s="5" t="s">
        <v>119</v>
      </c>
      <c r="G24" s="5"/>
      <c r="H24" s="6"/>
      <c r="I24" s="5" t="s">
        <v>36</v>
      </c>
      <c r="J24" s="5"/>
      <c r="K24" s="4">
        <f t="shared" si="0"/>
        <v>0</v>
      </c>
    </row>
    <row r="25" spans="1:13" x14ac:dyDescent="0.35">
      <c r="A25" s="5"/>
      <c r="B25" s="5">
        <v>8490</v>
      </c>
      <c r="C25" s="8">
        <v>3</v>
      </c>
      <c r="D25" s="7">
        <v>46083</v>
      </c>
      <c r="E25" s="5"/>
      <c r="F25" s="5" t="s">
        <v>120</v>
      </c>
      <c r="G25" s="5"/>
      <c r="H25" s="6">
        <v>-15000</v>
      </c>
      <c r="I25" s="6" t="s">
        <v>96</v>
      </c>
      <c r="J25" s="9" t="s">
        <v>38</v>
      </c>
      <c r="K25" s="4">
        <f t="shared" si="0"/>
        <v>15000</v>
      </c>
      <c r="M25" s="1" t="s">
        <v>93</v>
      </c>
    </row>
    <row r="26" spans="1:13" x14ac:dyDescent="0.35">
      <c r="A26" s="5"/>
      <c r="B26" s="5">
        <v>8490</v>
      </c>
      <c r="C26" s="8">
        <v>3</v>
      </c>
      <c r="D26" s="7">
        <v>46086</v>
      </c>
      <c r="E26" s="5"/>
      <c r="F26" s="5" t="s">
        <v>100</v>
      </c>
      <c r="G26" s="5"/>
      <c r="H26" s="6"/>
      <c r="I26" s="6" t="s">
        <v>96</v>
      </c>
      <c r="J26" s="5" t="s">
        <v>32</v>
      </c>
      <c r="K26" s="4">
        <f t="shared" si="0"/>
        <v>0</v>
      </c>
      <c r="M26" s="1" t="s">
        <v>93</v>
      </c>
    </row>
    <row r="27" spans="1:13" x14ac:dyDescent="0.35">
      <c r="A27" s="5"/>
      <c r="B27" s="5">
        <v>8490</v>
      </c>
      <c r="C27" s="8">
        <v>3</v>
      </c>
      <c r="D27" s="7">
        <v>46094</v>
      </c>
      <c r="E27" s="5"/>
      <c r="F27" s="5" t="s">
        <v>121</v>
      </c>
      <c r="G27" s="5"/>
      <c r="H27" s="6">
        <v>-0.5</v>
      </c>
      <c r="I27" s="6" t="s">
        <v>96</v>
      </c>
      <c r="J27" s="5" t="s">
        <v>46</v>
      </c>
      <c r="K27" s="4">
        <f t="shared" si="0"/>
        <v>0.5</v>
      </c>
      <c r="M27" s="1" t="s">
        <v>93</v>
      </c>
    </row>
    <row r="28" spans="1:13" x14ac:dyDescent="0.35">
      <c r="A28" s="5"/>
      <c r="B28" s="5">
        <v>8490</v>
      </c>
      <c r="C28" s="8">
        <v>3</v>
      </c>
      <c r="D28" s="7">
        <v>46104</v>
      </c>
      <c r="E28" s="5"/>
      <c r="F28" s="5" t="s">
        <v>122</v>
      </c>
      <c r="G28" s="5"/>
      <c r="H28" s="6">
        <v>-275</v>
      </c>
      <c r="I28" s="6" t="s">
        <v>96</v>
      </c>
      <c r="J28" s="5" t="s">
        <v>44</v>
      </c>
      <c r="K28" s="4">
        <f t="shared" si="0"/>
        <v>275</v>
      </c>
      <c r="M28" s="1" t="s">
        <v>93</v>
      </c>
    </row>
    <row r="29" spans="1:13" x14ac:dyDescent="0.35">
      <c r="A29" s="5">
        <v>23</v>
      </c>
      <c r="B29" s="5">
        <v>8490</v>
      </c>
      <c r="C29" s="8">
        <v>3</v>
      </c>
      <c r="D29" s="7">
        <v>46104</v>
      </c>
      <c r="E29" s="5"/>
      <c r="F29" s="5" t="s">
        <v>123</v>
      </c>
      <c r="G29" s="5"/>
      <c r="H29" s="6">
        <v>3000</v>
      </c>
      <c r="I29" s="5" t="s">
        <v>96</v>
      </c>
      <c r="J29" s="5" t="s">
        <v>40</v>
      </c>
      <c r="K29" s="4">
        <f t="shared" si="0"/>
        <v>3000</v>
      </c>
      <c r="M29" s="1" t="s">
        <v>93</v>
      </c>
    </row>
    <row r="30" spans="1:13" x14ac:dyDescent="0.35">
      <c r="A30" s="5"/>
      <c r="B30" s="5">
        <v>8490</v>
      </c>
      <c r="C30" s="8">
        <v>3</v>
      </c>
      <c r="D30" s="7">
        <v>46112</v>
      </c>
      <c r="E30" s="5"/>
      <c r="F30" s="5" t="s">
        <v>124</v>
      </c>
      <c r="G30" s="5"/>
      <c r="H30" s="6">
        <v>-15000</v>
      </c>
      <c r="I30" s="6" t="s">
        <v>96</v>
      </c>
      <c r="J30" s="9" t="s">
        <v>38</v>
      </c>
      <c r="K30" s="4">
        <f t="shared" si="0"/>
        <v>15000</v>
      </c>
    </row>
    <row r="31" spans="1:13" x14ac:dyDescent="0.35">
      <c r="A31" s="5">
        <v>24</v>
      </c>
      <c r="B31" s="5">
        <v>8490</v>
      </c>
      <c r="C31" s="8">
        <v>3</v>
      </c>
      <c r="D31" s="7">
        <v>46112</v>
      </c>
      <c r="E31" s="5"/>
      <c r="F31" s="5" t="s">
        <v>125</v>
      </c>
      <c r="G31" s="5"/>
      <c r="H31" s="6">
        <v>25000</v>
      </c>
      <c r="I31" s="5" t="s">
        <v>96</v>
      </c>
      <c r="J31" s="5" t="s">
        <v>38</v>
      </c>
      <c r="K31" s="4">
        <f t="shared" si="0"/>
        <v>25000</v>
      </c>
      <c r="M31" s="1" t="s">
        <v>93</v>
      </c>
    </row>
    <row r="32" spans="1:13" x14ac:dyDescent="0.35">
      <c r="A32" s="5">
        <v>27</v>
      </c>
      <c r="B32" s="5">
        <v>4729</v>
      </c>
      <c r="C32" s="8">
        <v>3</v>
      </c>
      <c r="D32" s="7">
        <v>46086</v>
      </c>
      <c r="E32" s="5"/>
      <c r="F32" s="5" t="s">
        <v>105</v>
      </c>
      <c r="G32" s="5"/>
      <c r="H32" s="6">
        <v>5000</v>
      </c>
      <c r="I32" s="5" t="s">
        <v>32</v>
      </c>
      <c r="J32" s="5" t="s">
        <v>96</v>
      </c>
      <c r="K32" s="4">
        <f t="shared" si="0"/>
        <v>5000</v>
      </c>
      <c r="M32" s="1" t="s">
        <v>93</v>
      </c>
    </row>
    <row r="33" spans="1:13" x14ac:dyDescent="0.35">
      <c r="A33" s="5">
        <v>26</v>
      </c>
      <c r="B33" s="5">
        <v>4729</v>
      </c>
      <c r="C33" s="8">
        <v>3</v>
      </c>
      <c r="D33" s="7">
        <v>46091</v>
      </c>
      <c r="E33" s="5"/>
      <c r="F33" s="5">
        <v>8353964530</v>
      </c>
      <c r="G33" s="5"/>
      <c r="H33" s="6">
        <v>2400</v>
      </c>
      <c r="I33" s="5" t="s">
        <v>32</v>
      </c>
      <c r="J33" s="5" t="s">
        <v>112</v>
      </c>
      <c r="K33" s="4">
        <f t="shared" si="0"/>
        <v>2400</v>
      </c>
      <c r="M33" s="1" t="s">
        <v>93</v>
      </c>
    </row>
    <row r="34" spans="1:13" x14ac:dyDescent="0.35">
      <c r="A34" s="5">
        <v>22</v>
      </c>
      <c r="B34" s="5">
        <v>8896</v>
      </c>
      <c r="C34" s="8">
        <v>3</v>
      </c>
      <c r="D34" s="7">
        <v>46083</v>
      </c>
      <c r="E34" s="5"/>
      <c r="F34" s="5" t="s">
        <v>113</v>
      </c>
      <c r="G34" s="5"/>
      <c r="H34" s="6">
        <v>6</v>
      </c>
      <c r="I34" s="5" t="s">
        <v>114</v>
      </c>
      <c r="J34" s="5" t="s">
        <v>46</v>
      </c>
      <c r="K34" s="4">
        <f t="shared" si="0"/>
        <v>6</v>
      </c>
      <c r="M34" s="1" t="s">
        <v>93</v>
      </c>
    </row>
  </sheetData>
  <autoFilter ref="A1:N1" xr:uid="{5DF01C74-126E-4CBA-856B-EBBCFECB99BB}">
    <sortState xmlns:xlrd2="http://schemas.microsoft.com/office/spreadsheetml/2017/richdata2" ref="A2:N34">
      <sortCondition ref="D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38864-70c0-4a50-9aa4-f7e2d76bb14f}" enabled="1" method="Standard" siteId="{793faa36-870a-465b-93be-d8d07da8a6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Recon</vt:lpstr>
      <vt:lpstr>gl</vt:lpstr>
      <vt:lpstr>Instructions!Print_Area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 Compton</cp:lastModifiedBy>
  <cp:revision>0</cp:revision>
  <dcterms:created xsi:type="dcterms:W3CDTF">2026-04-30T17:18:41Z</dcterms:created>
  <dcterms:modified xsi:type="dcterms:W3CDTF">2026-05-05T13:55:31Z</dcterms:modified>
  <cp:category/>
  <cp:contentStatus/>
</cp:coreProperties>
</file>